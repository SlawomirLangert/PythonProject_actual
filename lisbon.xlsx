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ather_data" sheetId="1" state="visible" r:id="rId3"/>
    <sheet name="README" sheetId="2" state="visible" r:id="rId4"/>
    <sheet name="viz_helper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A1" authorId="0">
      <text>
        <r>
          <rPr>
            <sz val="10"/>
            <rFont val="Arial"/>
            <family val="2"/>
            <charset val="238"/>
          </rPr>
          <t xml:space="preserve">Synthetic dataset generated to resemble Lisbon weather over the last 12 months. Fields match your Python project structure and are suitable for visualizations.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A1" authorId="0">
      <text>
        <r>
          <rPr>
            <sz val="10"/>
            <rFont val="Arial"/>
            <family val="2"/>
            <charset val="238"/>
          </rPr>
          <t xml:space="preserve">Derived helper fields to speed up charts and pivot tables.</t>
        </r>
      </text>
    </comment>
  </commentList>
</comments>
</file>

<file path=xl/sharedStrings.xml><?xml version="1.0" encoding="utf-8"?>
<sst xmlns="http://schemas.openxmlformats.org/spreadsheetml/2006/main" count="730" uniqueCount="39">
  <si>
    <t xml:space="preserve">record_id</t>
  </si>
  <si>
    <t xml:space="preserve">timestamp</t>
  </si>
  <si>
    <t xml:space="preserve">name</t>
  </si>
  <si>
    <t xml:space="preserve">temp</t>
  </si>
  <si>
    <t xml:space="preserve">feels_like</t>
  </si>
  <si>
    <t xml:space="preserve">humidity</t>
  </si>
  <si>
    <t xml:space="preserve">pressure</t>
  </si>
  <si>
    <t xml:space="preserve">description</t>
  </si>
  <si>
    <t xml:space="preserve">wind_speed</t>
  </si>
  <si>
    <t xml:space="preserve">Lisbon</t>
  </si>
  <si>
    <t xml:space="preserve">clear sky</t>
  </si>
  <si>
    <t xml:space="preserve">moderate rain</t>
  </si>
  <si>
    <t xml:space="preserve">scattered clouds</t>
  </si>
  <si>
    <t xml:space="preserve">light rain</t>
  </si>
  <si>
    <t xml:space="preserve">few clouds</t>
  </si>
  <si>
    <t xml:space="preserve">drizzle</t>
  </si>
  <si>
    <t xml:space="preserve">overcast clouds</t>
  </si>
  <si>
    <t xml:space="preserve">broken clouds</t>
  </si>
  <si>
    <t xml:space="preserve">thunderstorm</t>
  </si>
  <si>
    <t xml:space="preserve">mist</t>
  </si>
  <si>
    <t xml:space="preserve">Lisbon weather dataset (synthetic)</t>
  </si>
  <si>
    <t xml:space="preserve">Miasto</t>
  </si>
  <si>
    <t xml:space="preserve">Liczba rekordów</t>
  </si>
  <si>
    <t xml:space="preserve">Zakres dat</t>
  </si>
  <si>
    <t xml:space="preserve">Typ danych</t>
  </si>
  <si>
    <t xml:space="preserve">synthetic / generated</t>
  </si>
  <si>
    <t xml:space="preserve">Kolumny</t>
  </si>
  <si>
    <t xml:space="preserve">record_id, timestamp, name, temp_c, feels_like_c, humidity_pct, pressure_hpa, description, wind_speed_kmh</t>
  </si>
  <si>
    <t xml:space="preserve">Użycie</t>
  </si>
  <si>
    <t xml:space="preserve">Gotowe pod wykresy: trend temperatury, sezonowość, rozkład wilgotności, korelacja wiatr–odczuwalna temperatura.</t>
  </si>
  <si>
    <t xml:space="preserve">date_only</t>
  </si>
  <si>
    <t xml:space="preserve">year_month</t>
  </si>
  <si>
    <t xml:space="preserve">month_num</t>
  </si>
  <si>
    <t xml:space="preserve">month_name</t>
  </si>
  <si>
    <t xml:space="preserve">quarter</t>
  </si>
  <si>
    <t xml:space="preserve">season</t>
  </si>
  <si>
    <t xml:space="preserve">temp_delta</t>
  </si>
  <si>
    <t xml:space="preserve">rainy_flag</t>
  </si>
  <si>
    <t xml:space="preserve">windy_flag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</si>
</sst>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h:mm"/>
    <numFmt numFmtId="166" formatCode="0.0"/>
    <numFmt numFmtId="167" formatCode="0"/>
    <numFmt numFmtId="168" formatCode="yyyy\-mm\-dd"/>
  </numFmts>
  <fonts count="9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theme="1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1F1F1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AF2F8"/>
      </patternFill>
    </fill>
    <fill>
      <patternFill patternType="solid">
        <fgColor rgb="FFEAF2F8"/>
        <bgColor rgb="FFD9EAF7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8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5E9CD5"/>
          <bgColor rgb="FF000000"/>
        </patternFill>
      </fill>
    </dxf>
    <dxf>
      <fill>
        <patternFill patternType="solid">
          <fgColor rgb="FF5F9DD5"/>
          <bgColor rgb="FF000000"/>
        </patternFill>
      </fill>
    </dxf>
    <dxf>
      <fill>
        <patternFill patternType="solid">
          <fgColor rgb="FF639FD5"/>
          <bgColor rgb="FF000000"/>
        </patternFill>
      </fill>
    </dxf>
    <dxf>
      <fill>
        <patternFill patternType="solid">
          <fgColor rgb="FF68A1D5"/>
          <bgColor rgb="FF000000"/>
        </patternFill>
      </fill>
    </dxf>
    <dxf>
      <fill>
        <patternFill patternType="solid">
          <fgColor rgb="FF69A2D5"/>
          <bgColor rgb="FF000000"/>
        </patternFill>
      </fill>
    </dxf>
    <dxf>
      <fill>
        <patternFill patternType="solid">
          <fgColor rgb="FF6BA3D5"/>
          <bgColor rgb="FF000000"/>
        </patternFill>
      </fill>
    </dxf>
    <dxf>
      <fill>
        <patternFill patternType="solid">
          <fgColor rgb="FF6DA4D5"/>
          <bgColor rgb="FF000000"/>
        </patternFill>
      </fill>
    </dxf>
    <dxf>
      <fill>
        <patternFill patternType="solid">
          <fgColor rgb="FF6EA5D4"/>
          <bgColor rgb="FF000000"/>
        </patternFill>
      </fill>
    </dxf>
    <dxf>
      <fill>
        <patternFill patternType="solid">
          <fgColor rgb="FF71A7D4"/>
          <bgColor rgb="FF000000"/>
        </patternFill>
      </fill>
    </dxf>
    <dxf>
      <fill>
        <patternFill patternType="solid">
          <fgColor rgb="FF73A8D4"/>
          <bgColor rgb="FF000000"/>
        </patternFill>
      </fill>
    </dxf>
    <dxf>
      <fill>
        <patternFill patternType="solid">
          <fgColor rgb="FF75A8D4"/>
          <bgColor rgb="FF000000"/>
        </patternFill>
      </fill>
    </dxf>
    <dxf>
      <fill>
        <patternFill patternType="solid">
          <fgColor rgb="FF76A9D4"/>
          <bgColor rgb="FF000000"/>
        </patternFill>
      </fill>
    </dxf>
    <dxf>
      <fill>
        <patternFill patternType="solid">
          <fgColor rgb="FF78AAD4"/>
          <bgColor rgb="FF000000"/>
        </patternFill>
      </fill>
    </dxf>
    <dxf>
      <fill>
        <patternFill patternType="solid">
          <fgColor rgb="FF7AABD4"/>
          <bgColor rgb="FF000000"/>
        </patternFill>
      </fill>
    </dxf>
    <dxf>
      <fill>
        <patternFill patternType="solid">
          <fgColor rgb="FF7DADD4"/>
          <bgColor rgb="FF000000"/>
        </patternFill>
      </fill>
    </dxf>
    <dxf>
      <fill>
        <patternFill patternType="solid">
          <fgColor rgb="FF82AFD3"/>
          <bgColor rgb="FF000000"/>
        </patternFill>
      </fill>
    </dxf>
    <dxf>
      <fill>
        <patternFill patternType="solid">
          <fgColor rgb="FF84B0D3"/>
          <bgColor rgb="FF000000"/>
        </patternFill>
      </fill>
    </dxf>
    <dxf>
      <fill>
        <patternFill patternType="solid">
          <fgColor rgb="FF85B1D3"/>
          <bgColor rgb="FF000000"/>
        </patternFill>
      </fill>
    </dxf>
    <dxf>
      <fill>
        <patternFill patternType="solid">
          <fgColor rgb="FF88B3D3"/>
          <bgColor rgb="FF000000"/>
        </patternFill>
      </fill>
    </dxf>
    <dxf>
      <fill>
        <patternFill patternType="solid">
          <fgColor rgb="FF8AB4D3"/>
          <bgColor rgb="FF000000"/>
        </patternFill>
      </fill>
    </dxf>
    <dxf>
      <fill>
        <patternFill patternType="solid">
          <fgColor rgb="FF8CB5D3"/>
          <bgColor rgb="FF000000"/>
        </patternFill>
      </fill>
    </dxf>
    <dxf>
      <fill>
        <patternFill patternType="solid">
          <fgColor rgb="FF8FB6D3"/>
          <bgColor rgb="FF000000"/>
        </patternFill>
      </fill>
    </dxf>
    <dxf>
      <fill>
        <patternFill patternType="solid">
          <fgColor rgb="FF91B7D3"/>
          <bgColor rgb="FF000000"/>
        </patternFill>
      </fill>
    </dxf>
    <dxf>
      <fill>
        <patternFill patternType="solid">
          <fgColor rgb="FF94B9D2"/>
          <bgColor rgb="FF000000"/>
        </patternFill>
      </fill>
    </dxf>
    <dxf>
      <fill>
        <patternFill patternType="solid">
          <fgColor rgb="FF96BAD2"/>
          <bgColor rgb="FF000000"/>
        </patternFill>
      </fill>
    </dxf>
    <dxf>
      <fill>
        <patternFill patternType="solid">
          <fgColor rgb="FF99BCD2"/>
          <bgColor rgb="FF000000"/>
        </patternFill>
      </fill>
    </dxf>
    <dxf>
      <fill>
        <patternFill patternType="solid">
          <fgColor rgb="FF9ABCD2"/>
          <bgColor rgb="FF000000"/>
        </patternFill>
      </fill>
    </dxf>
    <dxf>
      <fill>
        <patternFill patternType="solid">
          <fgColor rgb="FF9CBDD2"/>
          <bgColor rgb="FF000000"/>
        </patternFill>
      </fill>
    </dxf>
    <dxf>
      <fill>
        <patternFill patternType="solid">
          <fgColor rgb="FF9FBFD2"/>
          <bgColor rgb="FF000000"/>
        </patternFill>
      </fill>
    </dxf>
    <dxf>
      <fill>
        <patternFill patternType="solid">
          <fgColor rgb="FFA1C0D2"/>
          <bgColor rgb="FF000000"/>
        </patternFill>
      </fill>
    </dxf>
    <dxf>
      <fill>
        <patternFill patternType="solid">
          <fgColor rgb="FFA4C2D1"/>
          <bgColor rgb="FF000000"/>
        </patternFill>
      </fill>
    </dxf>
    <dxf>
      <fill>
        <patternFill patternType="solid">
          <fgColor rgb="FFA8C3D1"/>
          <bgColor rgb="FF000000"/>
        </patternFill>
      </fill>
    </dxf>
    <dxf>
      <fill>
        <patternFill patternType="solid">
          <fgColor rgb="FFA9C4D1"/>
          <bgColor rgb="FF000000"/>
        </patternFill>
      </fill>
    </dxf>
    <dxf>
      <fill>
        <patternFill patternType="solid">
          <fgColor rgb="FFABC5D1"/>
          <bgColor rgb="FF000000"/>
        </patternFill>
      </fill>
    </dxf>
    <dxf>
      <fill>
        <patternFill patternType="solid">
          <fgColor rgb="FFADC6D1"/>
          <bgColor rgb="FF000000"/>
        </patternFill>
      </fill>
    </dxf>
    <dxf>
      <fill>
        <patternFill patternType="solid">
          <fgColor rgb="FFAEC7D1"/>
          <bgColor rgb="FF000000"/>
        </patternFill>
      </fill>
    </dxf>
    <dxf>
      <fill>
        <patternFill patternType="solid">
          <fgColor rgb="FFB0C8D1"/>
          <bgColor rgb="FF000000"/>
        </patternFill>
      </fill>
    </dxf>
    <dxf>
      <fill>
        <patternFill patternType="solid">
          <fgColor rgb="FFB5CAD1"/>
          <bgColor rgb="FF000000"/>
        </patternFill>
      </fill>
    </dxf>
    <dxf>
      <fill>
        <patternFill patternType="solid">
          <fgColor rgb="FFB8CCD0"/>
          <bgColor rgb="FF000000"/>
        </patternFill>
      </fill>
    </dxf>
    <dxf>
      <fill>
        <patternFill patternType="solid">
          <fgColor rgb="FFBACDD0"/>
          <bgColor rgb="FF000000"/>
        </patternFill>
      </fill>
    </dxf>
    <dxf>
      <fill>
        <patternFill patternType="solid">
          <fgColor rgb="FFBBCED0"/>
          <bgColor rgb="FF000000"/>
        </patternFill>
      </fill>
    </dxf>
    <dxf>
      <fill>
        <patternFill patternType="solid">
          <fgColor rgb="FFBDCFD0"/>
          <bgColor rgb="FF000000"/>
        </patternFill>
      </fill>
    </dxf>
    <dxf>
      <fill>
        <patternFill patternType="solid">
          <fgColor rgb="FFBFD0D0"/>
          <bgColor rgb="FF000000"/>
        </patternFill>
      </fill>
    </dxf>
    <dxf>
      <fill>
        <patternFill patternType="solid">
          <fgColor rgb="FFC0D0D0"/>
          <bgColor rgb="FF000000"/>
        </patternFill>
      </fill>
    </dxf>
    <dxf>
      <fill>
        <patternFill patternType="solid">
          <fgColor rgb="FFC2D1D0"/>
          <bgColor rgb="FF000000"/>
        </patternFill>
      </fill>
    </dxf>
    <dxf>
      <fill>
        <patternFill patternType="solid">
          <fgColor rgb="FFC3D2D0"/>
          <bgColor rgb="FF000000"/>
        </patternFill>
      </fill>
    </dxf>
    <dxf>
      <fill>
        <patternFill patternType="solid">
          <fgColor rgb="FFC5D3D0"/>
          <bgColor rgb="FF000000"/>
        </patternFill>
      </fill>
    </dxf>
    <dxf>
      <fill>
        <patternFill patternType="solid">
          <fgColor rgb="FFC7D4D0"/>
          <bgColor rgb="FF000000"/>
        </patternFill>
      </fill>
    </dxf>
    <dxf>
      <fill>
        <patternFill patternType="solid">
          <fgColor rgb="FFCCD7CF"/>
          <bgColor rgb="FF000000"/>
        </patternFill>
      </fill>
    </dxf>
    <dxf>
      <fill>
        <patternFill patternType="solid">
          <fgColor rgb="FFCDD7CF"/>
          <bgColor rgb="FF000000"/>
        </patternFill>
      </fill>
    </dxf>
    <dxf>
      <fill>
        <patternFill patternType="solid">
          <fgColor rgb="FFCFD8CF"/>
          <bgColor rgb="FF000000"/>
        </patternFill>
      </fill>
    </dxf>
    <dxf>
      <fill>
        <patternFill patternType="solid">
          <fgColor rgb="FFD1D9CF"/>
          <bgColor rgb="FF000000"/>
        </patternFill>
      </fill>
    </dxf>
    <dxf>
      <fill>
        <patternFill patternType="solid">
          <fgColor rgb="FFD2DACF"/>
          <bgColor rgb="FF000000"/>
        </patternFill>
      </fill>
    </dxf>
    <dxf>
      <fill>
        <patternFill patternType="solid">
          <fgColor rgb="FFD4DBCF"/>
          <bgColor rgb="FF000000"/>
        </patternFill>
      </fill>
    </dxf>
    <dxf>
      <fill>
        <patternFill patternType="solid">
          <fgColor rgb="FFD6DCCF"/>
          <bgColor rgb="FF000000"/>
        </patternFill>
      </fill>
    </dxf>
    <dxf>
      <fill>
        <patternFill patternType="solid">
          <fgColor rgb="FFD7DDCF"/>
          <bgColor rgb="FF000000"/>
        </patternFill>
      </fill>
    </dxf>
    <dxf>
      <fill>
        <patternFill patternType="solid">
          <fgColor rgb="FFD9DDCF"/>
          <bgColor rgb="FF000000"/>
        </patternFill>
      </fill>
    </dxf>
    <dxf>
      <fill>
        <patternFill patternType="solid">
          <fgColor rgb="FFDADECE"/>
          <bgColor rgb="FF000000"/>
        </patternFill>
      </fill>
    </dxf>
    <dxf>
      <fill>
        <patternFill patternType="solid">
          <fgColor rgb="FFDCDFCE"/>
          <bgColor rgb="FF000000"/>
        </patternFill>
      </fill>
    </dxf>
    <dxf>
      <fill>
        <patternFill patternType="solid">
          <fgColor rgb="FFDEE0CE"/>
          <bgColor rgb="FF000000"/>
        </patternFill>
      </fill>
    </dxf>
    <dxf>
      <fill>
        <patternFill patternType="solid">
          <fgColor rgb="FFDFE1CE"/>
          <bgColor rgb="FF000000"/>
        </patternFill>
      </fill>
    </dxf>
    <dxf>
      <fill>
        <patternFill patternType="solid">
          <fgColor rgb="FFE1E2CE"/>
          <bgColor rgb="FF000000"/>
        </patternFill>
      </fill>
    </dxf>
    <dxf>
      <fill>
        <patternFill patternType="solid">
          <fgColor rgb="FFE3E3CE"/>
          <bgColor rgb="FF000000"/>
        </patternFill>
      </fill>
    </dxf>
    <dxf>
      <fill>
        <patternFill patternType="solid">
          <fgColor rgb="FFE6E4CE"/>
          <bgColor rgb="FF000000"/>
        </patternFill>
      </fill>
    </dxf>
    <dxf>
      <fill>
        <patternFill patternType="solid">
          <fgColor rgb="FFE8E5CE"/>
          <bgColor rgb="FF000000"/>
        </patternFill>
      </fill>
    </dxf>
    <dxf>
      <fill>
        <patternFill patternType="solid">
          <fgColor rgb="FFE9E6CE"/>
          <bgColor rgb="FF000000"/>
        </patternFill>
      </fill>
    </dxf>
    <dxf>
      <fill>
        <patternFill patternType="solid">
          <fgColor rgb="FFEBE7CE"/>
          <bgColor rgb="FF000000"/>
        </patternFill>
      </fill>
    </dxf>
    <dxf>
      <fill>
        <patternFill patternType="solid">
          <fgColor rgb="FFECE8CD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EEE9CD"/>
          <bgColor rgb="FF000000"/>
        </patternFill>
      </fill>
    </dxf>
    <dxf>
      <fill>
        <patternFill patternType="solid">
          <fgColor rgb="FFEF8A42"/>
          <bgColor rgb="FF000000"/>
        </patternFill>
      </fill>
    </dxf>
    <dxf>
      <fill>
        <patternFill patternType="solid">
          <fgColor rgb="FFF0EACD"/>
          <bgColor rgb="FF000000"/>
        </patternFill>
      </fill>
    </dxf>
    <dxf>
      <fill>
        <patternFill patternType="solid">
          <fgColor rgb="FFF19753"/>
          <bgColor rgb="FF000000"/>
        </patternFill>
      </fill>
    </dxf>
    <dxf>
      <fill>
        <patternFill patternType="solid">
          <fgColor rgb="FFF1EBCD"/>
          <bgColor rgb="FF000000"/>
        </patternFill>
      </fill>
    </dxf>
    <dxf>
      <fill>
        <patternFill patternType="solid">
          <fgColor rgb="FFF29956"/>
          <bgColor rgb="FF000000"/>
        </patternFill>
      </fill>
    </dxf>
    <dxf>
      <fill>
        <patternFill patternType="solid">
          <fgColor rgb="FFF29A57"/>
          <bgColor rgb="FF000000"/>
        </patternFill>
      </fill>
    </dxf>
    <dxf>
      <fill>
        <patternFill patternType="solid">
          <fgColor rgb="FFF29D5C"/>
          <bgColor rgb="FF000000"/>
        </patternFill>
      </fill>
    </dxf>
    <dxf>
      <fill>
        <patternFill patternType="solid">
          <fgColor rgb="FFF3A160"/>
          <bgColor rgb="FF000000"/>
        </patternFill>
      </fill>
    </dxf>
    <dxf>
      <fill>
        <patternFill patternType="solid">
          <fgColor rgb="FFF3A161"/>
          <bgColor rgb="FF000000"/>
        </patternFill>
      </fill>
    </dxf>
    <dxf>
      <fill>
        <patternFill patternType="solid">
          <fgColor rgb="FFF3A363"/>
          <bgColor rgb="FF000000"/>
        </patternFill>
      </fill>
    </dxf>
    <dxf>
      <fill>
        <patternFill patternType="solid">
          <fgColor rgb="FFF3EBCD"/>
          <bgColor rgb="FF000000"/>
        </patternFill>
      </fill>
    </dxf>
    <dxf>
      <fill>
        <patternFill patternType="solid">
          <fgColor rgb="FFF4A566"/>
          <bgColor rgb="FF000000"/>
        </patternFill>
      </fill>
    </dxf>
    <dxf>
      <fill>
        <patternFill patternType="solid">
          <fgColor rgb="FFF4A667"/>
          <bgColor rgb="FF000000"/>
        </patternFill>
      </fill>
    </dxf>
    <dxf>
      <fill>
        <patternFill patternType="solid">
          <fgColor rgb="FFF4A769"/>
          <bgColor rgb="FF000000"/>
        </patternFill>
      </fill>
    </dxf>
    <dxf>
      <fill>
        <patternFill patternType="solid">
          <fgColor rgb="FFF4AA6C"/>
          <bgColor rgb="FF000000"/>
        </patternFill>
      </fill>
    </dxf>
    <dxf>
      <fill>
        <patternFill patternType="solid">
          <fgColor rgb="FFF4AB6D"/>
          <bgColor rgb="FF000000"/>
        </patternFill>
      </fill>
    </dxf>
    <dxf>
      <fill>
        <patternFill patternType="solid">
          <fgColor rgb="FFF5AB6E"/>
          <bgColor rgb="FF000000"/>
        </patternFill>
      </fill>
    </dxf>
    <dxf>
      <fill>
        <patternFill patternType="solid">
          <fgColor rgb="FFF5AE72"/>
          <bgColor rgb="FF000000"/>
        </patternFill>
      </fill>
    </dxf>
    <dxf>
      <fill>
        <patternFill patternType="solid">
          <fgColor rgb="FFF5AF73"/>
          <bgColor rgb="FF000000"/>
        </patternFill>
      </fill>
    </dxf>
    <dxf>
      <fill>
        <patternFill patternType="solid">
          <fgColor rgb="FFF5B074"/>
          <bgColor rgb="FF000000"/>
        </patternFill>
      </fill>
    </dxf>
    <dxf>
      <fill>
        <patternFill patternType="solid">
          <fgColor rgb="FFF5ECCD"/>
          <bgColor rgb="FF000000"/>
        </patternFill>
      </fill>
    </dxf>
    <dxf>
      <fill>
        <patternFill patternType="solid">
          <fgColor rgb="FFF6B378"/>
          <bgColor rgb="FF000000"/>
        </patternFill>
      </fill>
    </dxf>
    <dxf>
      <fill>
        <patternFill patternType="solid">
          <fgColor rgb="FFF6B479"/>
          <bgColor rgb="FF000000"/>
        </patternFill>
      </fill>
    </dxf>
    <dxf>
      <fill>
        <patternFill patternType="solid">
          <fgColor rgb="FFF6B57B"/>
          <bgColor rgb="FF000000"/>
        </patternFill>
      </fill>
    </dxf>
    <dxf>
      <fill>
        <patternFill patternType="solid">
          <fgColor rgb="FFF6B57C"/>
          <bgColor rgb="FF000000"/>
        </patternFill>
      </fill>
    </dxf>
    <dxf>
      <fill>
        <patternFill patternType="solid">
          <fgColor rgb="FFF6B67D"/>
          <bgColor rgb="FF000000"/>
        </patternFill>
      </fill>
    </dxf>
    <dxf>
      <fill>
        <patternFill patternType="solid">
          <fgColor rgb="FFF6B77E"/>
          <bgColor rgb="FF000000"/>
        </patternFill>
      </fill>
    </dxf>
    <dxf>
      <fill>
        <patternFill patternType="solid">
          <fgColor rgb="FFF6B87F"/>
          <bgColor rgb="FF000000"/>
        </patternFill>
      </fill>
    </dxf>
    <dxf>
      <fill>
        <patternFill patternType="solid">
          <fgColor rgb="FFF6EDCD"/>
          <bgColor rgb="FF000000"/>
        </patternFill>
      </fill>
    </dxf>
    <dxf>
      <fill>
        <patternFill patternType="solid">
          <fgColor rgb="FFF7B980"/>
          <bgColor rgb="FF000000"/>
        </patternFill>
      </fill>
    </dxf>
    <dxf>
      <fill>
        <patternFill patternType="solid">
          <fgColor rgb="FFF7BA81"/>
          <bgColor rgb="FF000000"/>
        </patternFill>
      </fill>
    </dxf>
    <dxf>
      <fill>
        <patternFill patternType="solid">
          <fgColor rgb="FFF7BB82"/>
          <bgColor rgb="FF000000"/>
        </patternFill>
      </fill>
    </dxf>
    <dxf>
      <fill>
        <patternFill patternType="solid">
          <fgColor rgb="FFF7BC85"/>
          <bgColor rgb="FF000000"/>
        </patternFill>
      </fill>
    </dxf>
    <dxf>
      <fill>
        <patternFill patternType="solid">
          <fgColor rgb="FFF7BE87"/>
          <bgColor rgb="FF000000"/>
        </patternFill>
      </fill>
    </dxf>
    <dxf>
      <fill>
        <patternFill patternType="solid">
          <fgColor rgb="FFF8BF88"/>
          <bgColor rgb="FF000000"/>
        </patternFill>
      </fill>
    </dxf>
    <dxf>
      <fill>
        <patternFill patternType="solid">
          <fgColor rgb="FFF8C089"/>
          <bgColor rgb="FF000000"/>
        </patternFill>
      </fill>
    </dxf>
    <dxf>
      <fill>
        <patternFill patternType="solid">
          <fgColor rgb="FFF8C08A"/>
          <bgColor rgb="FF000000"/>
        </patternFill>
      </fill>
    </dxf>
    <dxf>
      <fill>
        <patternFill patternType="solid">
          <fgColor rgb="FFF8C28C"/>
          <bgColor rgb="FF000000"/>
        </patternFill>
      </fill>
    </dxf>
    <dxf>
      <fill>
        <patternFill patternType="solid">
          <fgColor rgb="FFF8C38D"/>
          <bgColor rgb="FF000000"/>
        </patternFill>
      </fill>
    </dxf>
    <dxf>
      <fill>
        <patternFill patternType="solid">
          <fgColor rgb="FFF8C590"/>
          <bgColor rgb="FF000000"/>
        </patternFill>
      </fill>
    </dxf>
    <dxf>
      <fill>
        <patternFill patternType="solid">
          <fgColor rgb="FFF8EECD"/>
          <bgColor rgb="FF000000"/>
        </patternFill>
      </fill>
    </dxf>
    <dxf>
      <fill>
        <patternFill patternType="solid">
          <fgColor rgb="FFF9C591"/>
          <bgColor rgb="FF000000"/>
        </patternFill>
      </fill>
    </dxf>
    <dxf>
      <fill>
        <patternFill patternType="solid">
          <fgColor rgb="FFF9C692"/>
          <bgColor rgb="FF000000"/>
        </patternFill>
      </fill>
    </dxf>
    <dxf>
      <fill>
        <patternFill patternType="solid">
          <fgColor rgb="FFF9C793"/>
          <bgColor rgb="FF000000"/>
        </patternFill>
      </fill>
    </dxf>
    <dxf>
      <fill>
        <patternFill patternType="solid">
          <fgColor rgb="FFF9C894"/>
          <bgColor rgb="FF000000"/>
        </patternFill>
      </fill>
    </dxf>
    <dxf>
      <fill>
        <patternFill patternType="solid">
          <fgColor rgb="FFF9C995"/>
          <bgColor rgb="FF000000"/>
        </patternFill>
      </fill>
    </dxf>
    <dxf>
      <fill>
        <patternFill patternType="solid">
          <fgColor rgb="FFF9CA96"/>
          <bgColor rgb="FF000000"/>
        </patternFill>
      </fill>
    </dxf>
    <dxf>
      <fill>
        <patternFill patternType="solid">
          <fgColor rgb="FFF9CA97"/>
          <bgColor rgb="FF000000"/>
        </patternFill>
      </fill>
    </dxf>
    <dxf>
      <fill>
        <patternFill patternType="solid">
          <fgColor rgb="FFF9CB98"/>
          <bgColor rgb="FF000000"/>
        </patternFill>
      </fill>
    </dxf>
    <dxf>
      <fill>
        <patternFill patternType="solid">
          <fgColor rgb="FFFACC9A"/>
          <bgColor rgb="FF000000"/>
        </patternFill>
      </fill>
    </dxf>
    <dxf>
      <fill>
        <patternFill patternType="solid">
          <fgColor rgb="FFFACD9B"/>
          <bgColor rgb="FF000000"/>
        </patternFill>
      </fill>
    </dxf>
    <dxf>
      <fill>
        <patternFill patternType="solid">
          <fgColor rgb="FFFACE9C"/>
          <bgColor rgb="FF000000"/>
        </patternFill>
      </fill>
    </dxf>
    <dxf>
      <fill>
        <patternFill patternType="solid">
          <fgColor rgb="FFFACF9D"/>
          <bgColor rgb="FF000000"/>
        </patternFill>
      </fill>
    </dxf>
    <dxf>
      <fill>
        <patternFill patternType="solid">
          <fgColor rgb="FFFACF9E"/>
          <bgColor rgb="FF000000"/>
        </patternFill>
      </fill>
    </dxf>
    <dxf>
      <fill>
        <patternFill patternType="solid">
          <fgColor rgb="FFFAD09F"/>
          <bgColor rgb="FF000000"/>
        </patternFill>
      </fill>
    </dxf>
    <dxf>
      <fill>
        <patternFill patternType="solid">
          <fgColor rgb="FFFAD1A0"/>
          <bgColor rgb="FF000000"/>
        </patternFill>
      </fill>
    </dxf>
    <dxf>
      <fill>
        <patternFill patternType="solid">
          <fgColor rgb="FFFAD2A1"/>
          <bgColor rgb="FF000000"/>
        </patternFill>
      </fill>
    </dxf>
    <dxf>
      <fill>
        <patternFill patternType="solid">
          <fgColor rgb="FFFAEFCD"/>
          <bgColor rgb="FF000000"/>
        </patternFill>
      </fill>
    </dxf>
    <dxf>
      <fill>
        <patternFill patternType="solid">
          <fgColor rgb="FFFBD3A2"/>
          <bgColor rgb="FF000000"/>
        </patternFill>
      </fill>
    </dxf>
    <dxf>
      <fill>
        <patternFill patternType="solid">
          <fgColor rgb="FFFBD4A4"/>
          <bgColor rgb="FF000000"/>
        </patternFill>
      </fill>
    </dxf>
    <dxf>
      <fill>
        <patternFill patternType="solid">
          <fgColor rgb="FFFBD5A6"/>
          <bgColor rgb="FF000000"/>
        </patternFill>
      </fill>
    </dxf>
    <dxf>
      <fill>
        <patternFill patternType="solid">
          <fgColor rgb="FFFBD6A7"/>
          <bgColor rgb="FF000000"/>
        </patternFill>
      </fill>
    </dxf>
    <dxf>
      <fill>
        <patternFill patternType="solid">
          <fgColor rgb="FFFBD7A8"/>
          <bgColor rgb="FF000000"/>
        </patternFill>
      </fill>
    </dxf>
    <dxf>
      <fill>
        <patternFill patternType="solid">
          <fgColor rgb="FFFBD8A9"/>
          <bgColor rgb="FF000000"/>
        </patternFill>
      </fill>
    </dxf>
    <dxf>
      <fill>
        <patternFill patternType="solid">
          <fgColor rgb="FFFBF0CD"/>
          <bgColor rgb="FF000000"/>
        </patternFill>
      </fill>
    </dxf>
    <dxf>
      <fill>
        <patternFill patternType="solid">
          <fgColor rgb="FFFCD9AA"/>
          <bgColor rgb="FF000000"/>
        </patternFill>
      </fill>
    </dxf>
    <dxf>
      <fill>
        <patternFill patternType="solid">
          <fgColor rgb="FFFCD9AB"/>
          <bgColor rgb="FF000000"/>
        </patternFill>
      </fill>
    </dxf>
    <dxf>
      <fill>
        <patternFill patternType="solid">
          <fgColor rgb="FFFCDAAC"/>
          <bgColor rgb="FF000000"/>
        </patternFill>
      </fill>
    </dxf>
    <dxf>
      <fill>
        <patternFill patternType="solid">
          <fgColor rgb="FFFCDBAD"/>
          <bgColor rgb="FF000000"/>
        </patternFill>
      </fill>
    </dxf>
    <dxf>
      <fill>
        <patternFill patternType="solid">
          <fgColor rgb="FFFCDDB0"/>
          <bgColor rgb="FF000000"/>
        </patternFill>
      </fill>
    </dxf>
    <dxf>
      <fill>
        <patternFill patternType="solid">
          <fgColor rgb="FFFCDEB1"/>
          <bgColor rgb="FF000000"/>
        </patternFill>
      </fill>
    </dxf>
    <dxf>
      <fill>
        <patternFill patternType="solid">
          <fgColor rgb="FFFCDEB2"/>
          <bgColor rgb="FF000000"/>
        </patternFill>
      </fill>
    </dxf>
    <dxf>
      <fill>
        <patternFill patternType="solid">
          <fgColor rgb="FFFDDFB3"/>
          <bgColor rgb="FF000000"/>
        </patternFill>
      </fill>
    </dxf>
    <dxf>
      <fill>
        <patternFill patternType="solid">
          <fgColor rgb="FFFDE0B4"/>
          <bgColor rgb="FF000000"/>
        </patternFill>
      </fill>
    </dxf>
    <dxf>
      <fill>
        <patternFill patternType="solid">
          <fgColor rgb="FFFDE1B5"/>
          <bgColor rgb="FF000000"/>
        </patternFill>
      </fill>
    </dxf>
    <dxf>
      <fill>
        <patternFill patternType="solid">
          <fgColor rgb="FFFDE2B6"/>
          <bgColor rgb="FF000000"/>
        </patternFill>
      </fill>
    </dxf>
    <dxf>
      <fill>
        <patternFill patternType="solid">
          <fgColor rgb="FFFDE3B7"/>
          <bgColor rgb="FF000000"/>
        </patternFill>
      </fill>
    </dxf>
    <dxf>
      <fill>
        <patternFill patternType="solid">
          <fgColor rgb="FFFDE3B9"/>
          <bgColor rgb="FF000000"/>
        </patternFill>
      </fill>
    </dxf>
    <dxf>
      <fill>
        <patternFill patternType="solid">
          <fgColor rgb="FFFDE4BA"/>
          <bgColor rgb="FF000000"/>
        </patternFill>
      </fill>
    </dxf>
    <dxf>
      <fill>
        <patternFill patternType="solid">
          <fgColor rgb="FFFDE5BB"/>
          <bgColor rgb="FF000000"/>
        </patternFill>
      </fill>
    </dxf>
    <dxf>
      <fill>
        <patternFill patternType="solid">
          <fgColor rgb="FFFDF1CD"/>
          <bgColor rgb="FF000000"/>
        </patternFill>
      </fill>
    </dxf>
    <dxf>
      <fill>
        <patternFill patternType="solid">
          <fgColor rgb="FFFEE6BC"/>
          <bgColor rgb="FF000000"/>
        </patternFill>
      </fill>
    </dxf>
    <dxf>
      <fill>
        <patternFill patternType="solid">
          <fgColor rgb="FFFEE7BD"/>
          <bgColor rgb="FF000000"/>
        </patternFill>
      </fill>
    </dxf>
    <dxf>
      <fill>
        <patternFill patternType="solid">
          <fgColor rgb="FFFEE8BE"/>
          <bgColor rgb="FF000000"/>
        </patternFill>
      </fill>
    </dxf>
    <dxf>
      <fill>
        <patternFill patternType="solid">
          <fgColor rgb="FFFEE8BF"/>
          <bgColor rgb="FF000000"/>
        </patternFill>
      </fill>
    </dxf>
    <dxf>
      <fill>
        <patternFill patternType="solid">
          <fgColor rgb="FFFEE9C0"/>
          <bgColor rgb="FF000000"/>
        </patternFill>
      </fill>
    </dxf>
    <dxf>
      <fill>
        <patternFill patternType="solid">
          <fgColor rgb="FFFEEAC1"/>
          <bgColor rgb="FF000000"/>
        </patternFill>
      </fill>
    </dxf>
    <dxf>
      <fill>
        <patternFill patternType="solid">
          <fgColor rgb="FFFEEBC3"/>
          <bgColor rgb="FF000000"/>
        </patternFill>
      </fill>
    </dxf>
    <dxf>
      <fill>
        <patternFill patternType="solid">
          <fgColor rgb="FFFEECC4"/>
          <bgColor rgb="FF000000"/>
        </patternFill>
      </fill>
    </dxf>
    <dxf>
      <fill>
        <patternFill patternType="solid">
          <fgColor rgb="FFFFEDC5"/>
          <bgColor rgb="FF000000"/>
        </patternFill>
      </fill>
    </dxf>
    <dxf>
      <fill>
        <patternFill patternType="solid">
          <fgColor rgb="FFFFEDC6"/>
          <bgColor rgb="FF000000"/>
        </patternFill>
      </fill>
    </dxf>
    <dxf>
      <fill>
        <patternFill patternType="solid">
          <fgColor rgb="FFFFEEC7"/>
          <bgColor rgb="FF000000"/>
        </patternFill>
      </fill>
    </dxf>
    <dxf>
      <fill>
        <patternFill patternType="solid">
          <fgColor rgb="FFFFEFC8"/>
          <bgColor rgb="FF000000"/>
        </patternFill>
      </fill>
    </dxf>
    <dxf>
      <fill>
        <patternFill patternType="solid">
          <fgColor rgb="FFFFF0C9"/>
          <bgColor rgb="FF000000"/>
        </patternFill>
      </fill>
    </dxf>
    <dxf>
      <fill>
        <patternFill patternType="solid">
          <fgColor rgb="FFFFF1CA"/>
          <bgColor rgb="FF000000"/>
        </patternFill>
      </fill>
    </dxf>
    <dxf>
      <fill>
        <patternFill patternType="solid">
          <fgColor rgb="FFFFF2C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6F0D7"/>
          <bgColor rgb="FF000000"/>
        </patternFill>
      </fill>
    </dxf>
    <dxf>
      <fill>
        <patternFill patternType="solid">
          <fgColor rgb="FFE8F0D6"/>
          <bgColor rgb="FF000000"/>
        </patternFill>
      </fill>
    </dxf>
    <dxf>
      <fill>
        <patternFill patternType="solid">
          <fgColor rgb="FFE9F0D6"/>
          <bgColor rgb="FF000000"/>
        </patternFill>
      </fill>
    </dxf>
    <dxf>
      <fill>
        <patternFill patternType="solid">
          <fgColor rgb="FFEAF0D6"/>
          <bgColor rgb="FF000000"/>
        </patternFill>
      </fill>
    </dxf>
    <dxf>
      <fill>
        <patternFill patternType="solid">
          <fgColor rgb="FFEBF0D5"/>
          <bgColor rgb="FF000000"/>
        </patternFill>
      </fill>
    </dxf>
    <dxf>
      <fill>
        <patternFill patternType="solid">
          <fgColor rgb="FFECF0D5"/>
          <bgColor rgb="FF000000"/>
        </patternFill>
      </fill>
    </dxf>
    <dxf>
      <fill>
        <patternFill patternType="solid">
          <fgColor rgb="FFEDF0D4"/>
          <bgColor rgb="FF000000"/>
        </patternFill>
      </fill>
    </dxf>
    <dxf>
      <fill>
        <patternFill patternType="solid">
          <fgColor rgb="FFEEF0D4"/>
          <bgColor rgb="FF000000"/>
        </patternFill>
      </fill>
    </dxf>
    <dxf>
      <fill>
        <patternFill patternType="solid">
          <fgColor rgb="FFEFF0D3"/>
          <bgColor rgb="FF000000"/>
        </patternFill>
      </fill>
    </dxf>
    <dxf>
      <fill>
        <patternFill patternType="solid">
          <fgColor rgb="FFF0F1D3"/>
          <bgColor rgb="FF000000"/>
        </patternFill>
      </fill>
    </dxf>
    <dxf>
      <fill>
        <patternFill patternType="solid">
          <fgColor rgb="FFF1F1D3"/>
          <bgColor rgb="FF000000"/>
        </patternFill>
      </fill>
    </dxf>
    <dxf>
      <fill>
        <patternFill patternType="solid">
          <fgColor rgb="FFF2F1D2"/>
          <bgColor rgb="FF000000"/>
        </patternFill>
      </fill>
    </dxf>
    <dxf>
      <fill>
        <patternFill patternType="solid">
          <fgColor rgb="FFF3F1D2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4F1D1"/>
          <bgColor rgb="FF000000"/>
        </patternFill>
      </fill>
    </dxf>
    <dxf>
      <fill>
        <patternFill patternType="solid">
          <fgColor rgb="FFF5CECC"/>
          <bgColor rgb="FF000000"/>
        </patternFill>
      </fill>
    </dxf>
    <dxf>
      <fill>
        <patternFill patternType="solid">
          <fgColor rgb="FFF5D0CC"/>
          <bgColor rgb="FF000000"/>
        </patternFill>
      </fill>
    </dxf>
    <dxf>
      <fill>
        <patternFill patternType="solid">
          <fgColor rgb="FFF5F1D1"/>
          <bgColor rgb="FF000000"/>
        </patternFill>
      </fill>
    </dxf>
    <dxf>
      <fill>
        <patternFill patternType="solid">
          <fgColor rgb="FFF6D1CC"/>
          <bgColor rgb="FF000000"/>
        </patternFill>
      </fill>
    </dxf>
    <dxf>
      <fill>
        <patternFill patternType="solid">
          <fgColor rgb="FFF6D3CC"/>
          <bgColor rgb="FF000000"/>
        </patternFill>
      </fill>
    </dxf>
    <dxf>
      <fill>
        <patternFill patternType="solid">
          <fgColor rgb="FFF6F1D0"/>
          <bgColor rgb="FF000000"/>
        </patternFill>
      </fill>
    </dxf>
    <dxf>
      <fill>
        <patternFill patternType="solid">
          <fgColor rgb="FFF7D4CC"/>
          <bgColor rgb="FF000000"/>
        </patternFill>
      </fill>
    </dxf>
    <dxf>
      <fill>
        <patternFill patternType="solid">
          <fgColor rgb="FFF7D6CC"/>
          <bgColor rgb="FF000000"/>
        </patternFill>
      </fill>
    </dxf>
    <dxf>
      <fill>
        <patternFill patternType="solid">
          <fgColor rgb="FFF7F1D0"/>
          <bgColor rgb="FF000000"/>
        </patternFill>
      </fill>
    </dxf>
    <dxf>
      <fill>
        <patternFill patternType="solid">
          <fgColor rgb="FFF8D7CC"/>
          <bgColor rgb="FF000000"/>
        </patternFill>
      </fill>
    </dxf>
    <dxf>
      <fill>
        <patternFill patternType="solid">
          <fgColor rgb="FFF8D9CC"/>
          <bgColor rgb="FF000000"/>
        </patternFill>
      </fill>
    </dxf>
    <dxf>
      <fill>
        <patternFill patternType="solid">
          <fgColor rgb="FFF8DACC"/>
          <bgColor rgb="FF000000"/>
        </patternFill>
      </fill>
    </dxf>
    <dxf>
      <fill>
        <patternFill patternType="solid">
          <fgColor rgb="FFF8F1D0"/>
          <bgColor rgb="FF000000"/>
        </patternFill>
      </fill>
    </dxf>
    <dxf>
      <fill>
        <patternFill patternType="solid">
          <fgColor rgb="FFF9DCCC"/>
          <bgColor rgb="FF000000"/>
        </patternFill>
      </fill>
    </dxf>
    <dxf>
      <fill>
        <patternFill patternType="solid">
          <fgColor rgb="FFF9DDCC"/>
          <bgColor rgb="FF000000"/>
        </patternFill>
      </fill>
    </dxf>
    <dxf>
      <fill>
        <patternFill patternType="solid">
          <fgColor rgb="FFF9F1CF"/>
          <bgColor rgb="FF000000"/>
        </patternFill>
      </fill>
    </dxf>
    <dxf>
      <fill>
        <patternFill patternType="solid">
          <fgColor rgb="FFFADFCC"/>
          <bgColor rgb="FF000000"/>
        </patternFill>
      </fill>
    </dxf>
    <dxf>
      <fill>
        <patternFill patternType="solid">
          <fgColor rgb="FFFAE0CC"/>
          <bgColor rgb="FF000000"/>
        </patternFill>
      </fill>
    </dxf>
    <dxf>
      <fill>
        <patternFill patternType="solid">
          <fgColor rgb="FFFAF1CF"/>
          <bgColor rgb="FF000000"/>
        </patternFill>
      </fill>
    </dxf>
    <dxf>
      <fill>
        <patternFill patternType="solid">
          <fgColor rgb="FFFBE2CC"/>
          <bgColor rgb="FF000000"/>
        </patternFill>
      </fill>
    </dxf>
    <dxf>
      <fill>
        <patternFill patternType="solid">
          <fgColor rgb="FFFBE3CC"/>
          <bgColor rgb="FF000000"/>
        </patternFill>
      </fill>
    </dxf>
    <dxf>
      <fill>
        <patternFill patternType="solid">
          <fgColor rgb="FFFBF1CE"/>
          <bgColor rgb="FF000000"/>
        </patternFill>
      </fill>
    </dxf>
    <dxf>
      <fill>
        <patternFill patternType="solid">
          <fgColor rgb="FFFCE5CC"/>
          <bgColor rgb="FF000000"/>
        </patternFill>
      </fill>
    </dxf>
    <dxf>
      <fill>
        <patternFill patternType="solid">
          <fgColor rgb="FFFCE6CC"/>
          <bgColor rgb="FF000000"/>
        </patternFill>
      </fill>
    </dxf>
    <dxf>
      <fill>
        <patternFill patternType="solid">
          <fgColor rgb="FFFCE8CC"/>
          <bgColor rgb="FF000000"/>
        </patternFill>
      </fill>
    </dxf>
    <dxf>
      <fill>
        <patternFill patternType="solid">
          <fgColor rgb="FFFCF1CE"/>
          <bgColor rgb="FF000000"/>
        </patternFill>
      </fill>
    </dxf>
    <dxf>
      <fill>
        <patternFill patternType="solid">
          <fgColor rgb="FFFDE9CC"/>
          <bgColor rgb="FF000000"/>
        </patternFill>
      </fill>
    </dxf>
    <dxf>
      <fill>
        <patternFill patternType="solid">
          <fgColor rgb="FFFDEBCC"/>
          <bgColor rgb="FF000000"/>
        </patternFill>
      </fill>
    </dxf>
    <dxf>
      <fill>
        <patternFill patternType="solid">
          <fgColor rgb="FFFEECCC"/>
          <bgColor rgb="FF000000"/>
        </patternFill>
      </fill>
    </dxf>
    <dxf>
      <fill>
        <patternFill patternType="solid">
          <fgColor rgb="FFFEEECC"/>
          <bgColor rgb="FF000000"/>
        </patternFill>
      </fill>
    </dxf>
    <dxf>
      <fill>
        <patternFill patternType="solid">
          <fgColor rgb="FFFEF1CD"/>
          <bgColor rgb="FF000000"/>
        </patternFill>
      </fill>
    </dxf>
    <dxf>
      <fill>
        <patternFill patternType="solid">
          <fgColor rgb="FFFFEFCC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ACCDEC"/>
          <bgColor rgb="FF000000"/>
        </patternFill>
      </fill>
    </dxf>
    <dxf>
      <fill>
        <patternFill patternType="solid">
          <fgColor rgb="FFB0D0ED"/>
          <bgColor rgb="FF000000"/>
        </patternFill>
      </fill>
    </dxf>
    <dxf>
      <fill>
        <patternFill patternType="solid">
          <fgColor rgb="FFB4D3EE"/>
          <bgColor rgb="FF000000"/>
        </patternFill>
      </fill>
    </dxf>
    <dxf>
      <fill>
        <patternFill patternType="solid">
          <fgColor rgb="FFB5D3EE"/>
          <bgColor rgb="FF000000"/>
        </patternFill>
      </fill>
    </dxf>
    <dxf>
      <fill>
        <patternFill patternType="solid">
          <fgColor rgb="FFBAD6EF"/>
          <bgColor rgb="FF000000"/>
        </patternFill>
      </fill>
    </dxf>
    <dxf>
      <fill>
        <patternFill patternType="solid">
          <fgColor rgb="FFBBD7F0"/>
          <bgColor rgb="FF000000"/>
        </patternFill>
      </fill>
    </dxf>
    <dxf>
      <fill>
        <patternFill patternType="solid">
          <fgColor rgb="FFBCD7F0"/>
          <bgColor rgb="FF000000"/>
        </patternFill>
      </fill>
    </dxf>
    <dxf>
      <fill>
        <patternFill patternType="solid">
          <fgColor rgb="FFBCD8F0"/>
          <bgColor rgb="FF000000"/>
        </patternFill>
      </fill>
    </dxf>
    <dxf>
      <fill>
        <patternFill patternType="solid">
          <fgColor rgb="FFBED9F0"/>
          <bgColor rgb="FF000000"/>
        </patternFill>
      </fill>
    </dxf>
    <dxf>
      <fill>
        <patternFill patternType="solid">
          <fgColor rgb="FFC0DAF1"/>
          <bgColor rgb="FF000000"/>
        </patternFill>
      </fill>
    </dxf>
    <dxf>
      <fill>
        <patternFill patternType="solid">
          <fgColor rgb="FFC1DBF1"/>
          <bgColor rgb="FF000000"/>
        </patternFill>
      </fill>
    </dxf>
    <dxf>
      <fill>
        <patternFill patternType="solid">
          <fgColor rgb="FFC2DBF1"/>
          <bgColor rgb="FF000000"/>
        </patternFill>
      </fill>
    </dxf>
    <dxf>
      <fill>
        <patternFill patternType="solid">
          <fgColor rgb="FFC2DCF1"/>
          <bgColor rgb="FF000000"/>
        </patternFill>
      </fill>
    </dxf>
    <dxf>
      <fill>
        <patternFill patternType="solid">
          <fgColor rgb="FFC3DCF2"/>
          <bgColor rgb="FF000000"/>
        </patternFill>
      </fill>
    </dxf>
    <dxf>
      <fill>
        <patternFill patternType="solid">
          <fgColor rgb="FFC4DDF2"/>
          <bgColor rgb="FF000000"/>
        </patternFill>
      </fill>
    </dxf>
    <dxf>
      <fill>
        <patternFill patternType="solid">
          <fgColor rgb="FFC5DDF2"/>
          <bgColor rgb="FF000000"/>
        </patternFill>
      </fill>
    </dxf>
    <dxf>
      <fill>
        <patternFill patternType="solid">
          <fgColor rgb="FFC6DEF2"/>
          <bgColor rgb="FF000000"/>
        </patternFill>
      </fill>
    </dxf>
    <dxf>
      <fill>
        <patternFill patternType="solid">
          <fgColor rgb="FFC7DEF3"/>
          <bgColor rgb="FF000000"/>
        </patternFill>
      </fill>
    </dxf>
    <dxf>
      <fill>
        <patternFill patternType="solid">
          <fgColor rgb="FFC7DFF3"/>
          <bgColor rgb="FF000000"/>
        </patternFill>
      </fill>
    </dxf>
    <dxf>
      <fill>
        <patternFill patternType="solid">
          <fgColor rgb="FFC8DFF3"/>
          <bgColor rgb="FF000000"/>
        </patternFill>
      </fill>
    </dxf>
    <dxf>
      <fill>
        <patternFill patternType="solid">
          <fgColor rgb="FFC8E0F3"/>
          <bgColor rgb="FF000000"/>
        </patternFill>
      </fill>
    </dxf>
    <dxf>
      <fill>
        <patternFill patternType="solid">
          <fgColor rgb="FFC9E0F3"/>
          <bgColor rgb="FF000000"/>
        </patternFill>
      </fill>
    </dxf>
    <dxf>
      <fill>
        <patternFill patternType="solid">
          <fgColor rgb="FFCAE0F3"/>
          <bgColor rgb="FF000000"/>
        </patternFill>
      </fill>
    </dxf>
    <dxf>
      <fill>
        <patternFill patternType="solid">
          <fgColor rgb="FFCAE1F4"/>
          <bgColor rgb="FF000000"/>
        </patternFill>
      </fill>
    </dxf>
    <dxf>
      <fill>
        <patternFill patternType="solid">
          <fgColor rgb="FFCBE1F4"/>
          <bgColor rgb="FF000000"/>
        </patternFill>
      </fill>
    </dxf>
    <dxf>
      <fill>
        <patternFill patternType="solid">
          <fgColor rgb="FFCCE2F4"/>
          <bgColor rgb="FF000000"/>
        </patternFill>
      </fill>
    </dxf>
    <dxf>
      <fill>
        <patternFill patternType="solid">
          <fgColor rgb="FFCDE3F4"/>
          <bgColor rgb="FF000000"/>
        </patternFill>
      </fill>
    </dxf>
    <dxf>
      <fill>
        <patternFill patternType="solid">
          <fgColor rgb="FFCEE3F4"/>
          <bgColor rgb="FF000000"/>
        </patternFill>
      </fill>
    </dxf>
    <dxf>
      <fill>
        <patternFill patternType="solid">
          <fgColor rgb="FFCEE3F5"/>
          <bgColor rgb="FF000000"/>
        </patternFill>
      </fill>
    </dxf>
    <dxf>
      <fill>
        <patternFill patternType="solid">
          <fgColor rgb="FFCFE4F5"/>
          <bgColor rgb="FF000000"/>
        </patternFill>
      </fill>
    </dxf>
    <dxf>
      <fill>
        <patternFill patternType="solid">
          <fgColor rgb="FFD0E4F5"/>
          <bgColor rgb="FF000000"/>
        </patternFill>
      </fill>
    </dxf>
    <dxf>
      <fill>
        <patternFill patternType="solid">
          <fgColor rgb="FFD0E5F5"/>
          <bgColor rgb="FF000000"/>
        </patternFill>
      </fill>
    </dxf>
    <dxf>
      <fill>
        <patternFill patternType="solid">
          <fgColor rgb="FFD1E5F5"/>
          <bgColor rgb="FF000000"/>
        </patternFill>
      </fill>
    </dxf>
    <dxf>
      <fill>
        <patternFill patternType="solid">
          <fgColor rgb="FFD2E5F5"/>
          <bgColor rgb="FF000000"/>
        </patternFill>
      </fill>
    </dxf>
    <dxf>
      <fill>
        <patternFill patternType="solid">
          <fgColor rgb="FFD2E6F6"/>
          <bgColor rgb="FF000000"/>
        </patternFill>
      </fill>
    </dxf>
    <dxf>
      <fill>
        <patternFill patternType="solid">
          <fgColor rgb="FFD3E6F6"/>
          <bgColor rgb="FF000000"/>
        </patternFill>
      </fill>
    </dxf>
    <dxf>
      <fill>
        <patternFill patternType="solid">
          <fgColor rgb="FFD3E7F6"/>
          <bgColor rgb="FF000000"/>
        </patternFill>
      </fill>
    </dxf>
    <dxf>
      <fill>
        <patternFill patternType="solid">
          <fgColor rgb="FFD4E7F6"/>
          <bgColor rgb="FF000000"/>
        </patternFill>
      </fill>
    </dxf>
    <dxf>
      <fill>
        <patternFill patternType="solid">
          <fgColor rgb="FFD5E7F6"/>
          <bgColor rgb="FF000000"/>
        </patternFill>
      </fill>
    </dxf>
    <dxf>
      <fill>
        <patternFill patternType="solid">
          <fgColor rgb="FFD5E8F6"/>
          <bgColor rgb="FF000000"/>
        </patternFill>
      </fill>
    </dxf>
    <dxf>
      <fill>
        <patternFill patternType="solid">
          <fgColor rgb="FFD6E8F6"/>
          <bgColor rgb="FF000000"/>
        </patternFill>
      </fill>
    </dxf>
    <dxf>
      <fill>
        <patternFill patternType="solid">
          <fgColor rgb="FFD6E8F7"/>
          <bgColor rgb="FF000000"/>
        </patternFill>
      </fill>
    </dxf>
    <dxf>
      <fill>
        <patternFill patternType="solid">
          <fgColor rgb="FFD7E9F7"/>
          <bgColor rgb="FF000000"/>
        </patternFill>
      </fill>
    </dxf>
    <dxf>
      <fill>
        <patternFill patternType="solid">
          <fgColor rgb="FFD8E9F7"/>
          <bgColor rgb="FF000000"/>
        </patternFill>
      </fill>
    </dxf>
    <dxf>
      <fill>
        <patternFill patternType="solid">
          <fgColor rgb="FFD8EAF7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DAEBF3"/>
          <bgColor rgb="FF000000"/>
        </patternFill>
      </fill>
    </dxf>
    <dxf>
      <fill>
        <patternFill patternType="solid">
          <fgColor rgb="FFDAEBF4"/>
          <bgColor rgb="FF000000"/>
        </patternFill>
      </fill>
    </dxf>
    <dxf>
      <fill>
        <patternFill patternType="solid">
          <fgColor rgb="FFDAEBF5"/>
          <bgColor rgb="FF000000"/>
        </patternFill>
      </fill>
    </dxf>
    <dxf>
      <fill>
        <patternFill patternType="solid">
          <fgColor rgb="FFDAEBF6"/>
          <bgColor rgb="FF000000"/>
        </patternFill>
      </fill>
    </dxf>
    <dxf>
      <fill>
        <patternFill patternType="solid">
          <fgColor rgb="FFDBEBF2"/>
          <bgColor rgb="FF000000"/>
        </patternFill>
      </fill>
    </dxf>
    <dxf>
      <fill>
        <patternFill patternType="solid">
          <fgColor rgb="FFDBEBF3"/>
          <bgColor rgb="FF000000"/>
        </patternFill>
      </fill>
    </dxf>
    <dxf>
      <fill>
        <patternFill patternType="solid">
          <fgColor rgb="FFDBECF0"/>
          <bgColor rgb="FF000000"/>
        </patternFill>
      </fill>
    </dxf>
    <dxf>
      <fill>
        <patternFill patternType="solid">
          <fgColor rgb="FFDBECF1"/>
          <bgColor rgb="FF000000"/>
        </patternFill>
      </fill>
    </dxf>
    <dxf>
      <fill>
        <patternFill patternType="solid">
          <fgColor rgb="FFDCECED"/>
          <bgColor rgb="FF000000"/>
        </patternFill>
      </fill>
    </dxf>
    <dxf>
      <fill>
        <patternFill patternType="solid">
          <fgColor rgb="FFDCECEE"/>
          <bgColor rgb="FF000000"/>
        </patternFill>
      </fill>
    </dxf>
    <dxf>
      <fill>
        <patternFill patternType="solid">
          <fgColor rgb="FFDCECEF"/>
          <bgColor rgb="FF000000"/>
        </patternFill>
      </fill>
    </dxf>
    <dxf>
      <fill>
        <patternFill patternType="solid">
          <fgColor rgb="FFDCECF0"/>
          <bgColor rgb="FF000000"/>
        </patternFill>
      </fill>
    </dxf>
    <dxf>
      <fill>
        <patternFill patternType="solid">
          <fgColor rgb="FFDDEDEA"/>
          <bgColor rgb="FF000000"/>
        </patternFill>
      </fill>
    </dxf>
    <dxf>
      <fill>
        <patternFill patternType="solid">
          <fgColor rgb="FFDDEDEB"/>
          <bgColor rgb="FF000000"/>
        </patternFill>
      </fill>
    </dxf>
    <dxf>
      <fill>
        <patternFill patternType="solid">
          <fgColor rgb="FFDDEDEC"/>
          <bgColor rgb="FF000000"/>
        </patternFill>
      </fill>
    </dxf>
    <dxf>
      <fill>
        <patternFill patternType="solid">
          <fgColor rgb="FFDEEDE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VizHelper" displayName="VizHelper" ref="A1:J351" headerRowCount="1" totalsRowCount="0" totalsRowShown="0">
  <autoFilter ref="A1:J351"/>
  <tableColumns count="10">
    <tableColumn id="1" name="timestamp"/>
    <tableColumn id="2" name="date_only"/>
    <tableColumn id="3" name="year_month"/>
    <tableColumn id="4" name="month_num"/>
    <tableColumn id="5" name="month_name"/>
    <tableColumn id="6" name="quarter"/>
    <tableColumn id="7" name="season"/>
    <tableColumn id="8" name="temp_delta"/>
    <tableColumn id="9" name="rainy_flag"/>
    <tableColumn id="10" name="windy_flag"/>
  </tableColumns>
</table>
</file>

<file path=xl/tables/table2.xml><?xml version="1.0" encoding="utf-8"?>
<table xmlns="http://schemas.openxmlformats.org/spreadsheetml/2006/main" id="2" name="WeatherData" displayName="WeatherData" ref="A1:I351" headerRowCount="1" totalsRowCount="0" totalsRowShown="0">
  <autoFilter ref="A1:I351"/>
  <tableColumns count="9">
    <tableColumn id="1" name="record_id"/>
    <tableColumn id="2" name="timestamp"/>
    <tableColumn id="3" name="name"/>
    <tableColumn id="4" name="temp"/>
    <tableColumn id="5" name="feels_like"/>
    <tableColumn id="6" name="humidity"/>
    <tableColumn id="7" name="pressure"/>
    <tableColumn id="8" name="description"/>
    <tableColumn id="9" name="wind_speed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7" min="5" style="0" width="12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</v>
      </c>
      <c r="B2" s="2" t="n">
        <v>45754.5902777778</v>
      </c>
      <c r="C2" s="0" t="s">
        <v>9</v>
      </c>
      <c r="D2" s="3" t="n">
        <v>15.7</v>
      </c>
      <c r="E2" s="3" t="n">
        <v>14.7</v>
      </c>
      <c r="F2" s="4" t="n">
        <v>70</v>
      </c>
      <c r="G2" s="4" t="n">
        <v>1020</v>
      </c>
      <c r="H2" s="0" t="s">
        <v>10</v>
      </c>
      <c r="I2" s="3" t="n">
        <v>18.6</v>
      </c>
    </row>
    <row r="3" customFormat="false" ht="15" hidden="false" customHeight="false" outlineLevel="0" collapsed="false">
      <c r="A3" s="0" t="n">
        <v>2</v>
      </c>
      <c r="B3" s="2" t="n">
        <v>45755.7083333333</v>
      </c>
      <c r="C3" s="0" t="s">
        <v>9</v>
      </c>
      <c r="D3" s="3" t="n">
        <v>16.7</v>
      </c>
      <c r="E3" s="3" t="n">
        <v>16.9</v>
      </c>
      <c r="F3" s="4" t="n">
        <v>85</v>
      </c>
      <c r="G3" s="4" t="n">
        <v>1015</v>
      </c>
      <c r="H3" s="0" t="s">
        <v>11</v>
      </c>
      <c r="I3" s="3" t="n">
        <v>26.6</v>
      </c>
    </row>
    <row r="4" customFormat="false" ht="15" hidden="false" customHeight="false" outlineLevel="0" collapsed="false">
      <c r="A4" s="0" t="n">
        <v>3</v>
      </c>
      <c r="B4" s="2" t="n">
        <v>45756.5555555556</v>
      </c>
      <c r="C4" s="0" t="s">
        <v>9</v>
      </c>
      <c r="D4" s="3" t="n">
        <v>15.5</v>
      </c>
      <c r="E4" s="3" t="n">
        <v>14.6</v>
      </c>
      <c r="F4" s="4" t="n">
        <v>77</v>
      </c>
      <c r="G4" s="4" t="n">
        <v>1020</v>
      </c>
      <c r="H4" s="0" t="s">
        <v>12</v>
      </c>
      <c r="I4" s="3" t="n">
        <v>23.3</v>
      </c>
    </row>
    <row r="5" customFormat="false" ht="15" hidden="false" customHeight="false" outlineLevel="0" collapsed="false">
      <c r="A5" s="0" t="n">
        <v>4</v>
      </c>
      <c r="B5" s="2" t="n">
        <v>45757.6319444445</v>
      </c>
      <c r="C5" s="0" t="s">
        <v>9</v>
      </c>
      <c r="D5" s="3" t="n">
        <v>18.3</v>
      </c>
      <c r="E5" s="3" t="n">
        <v>18.9</v>
      </c>
      <c r="F5" s="4" t="n">
        <v>69</v>
      </c>
      <c r="G5" s="4" t="n">
        <v>1022</v>
      </c>
      <c r="H5" s="0" t="s">
        <v>10</v>
      </c>
      <c r="I5" s="3" t="n">
        <v>17.2</v>
      </c>
    </row>
    <row r="6" customFormat="false" ht="15" hidden="false" customHeight="false" outlineLevel="0" collapsed="false">
      <c r="A6" s="0" t="n">
        <v>5</v>
      </c>
      <c r="B6" s="2" t="n">
        <v>45758.8611111111</v>
      </c>
      <c r="C6" s="0" t="s">
        <v>9</v>
      </c>
      <c r="D6" s="3" t="n">
        <v>14.4</v>
      </c>
      <c r="E6" s="3" t="n">
        <v>14.6</v>
      </c>
      <c r="F6" s="4" t="n">
        <v>65</v>
      </c>
      <c r="G6" s="4" t="n">
        <v>1017</v>
      </c>
      <c r="H6" s="0" t="s">
        <v>10</v>
      </c>
      <c r="I6" s="3" t="n">
        <v>18.8</v>
      </c>
    </row>
    <row r="7" customFormat="false" ht="15" hidden="false" customHeight="false" outlineLevel="0" collapsed="false">
      <c r="A7" s="0" t="n">
        <v>6</v>
      </c>
      <c r="B7" s="2" t="n">
        <v>45759.6527777778</v>
      </c>
      <c r="C7" s="0" t="s">
        <v>9</v>
      </c>
      <c r="D7" s="3" t="n">
        <v>16.1</v>
      </c>
      <c r="E7" s="3" t="n">
        <v>16.9</v>
      </c>
      <c r="F7" s="4" t="n">
        <v>84</v>
      </c>
      <c r="G7" s="4" t="n">
        <v>1016</v>
      </c>
      <c r="H7" s="0" t="s">
        <v>13</v>
      </c>
      <c r="I7" s="3" t="n">
        <v>19.2</v>
      </c>
    </row>
    <row r="8" customFormat="false" ht="15" hidden="false" customHeight="false" outlineLevel="0" collapsed="false">
      <c r="A8" s="0" t="n">
        <v>7</v>
      </c>
      <c r="B8" s="2" t="n">
        <v>45760.2847222222</v>
      </c>
      <c r="C8" s="0" t="s">
        <v>9</v>
      </c>
      <c r="D8" s="3" t="n">
        <v>15</v>
      </c>
      <c r="E8" s="3" t="n">
        <v>15.1</v>
      </c>
      <c r="F8" s="4" t="n">
        <v>82</v>
      </c>
      <c r="G8" s="4" t="n">
        <v>1017</v>
      </c>
      <c r="H8" s="0" t="s">
        <v>10</v>
      </c>
      <c r="I8" s="3" t="n">
        <v>21</v>
      </c>
    </row>
    <row r="9" customFormat="false" ht="15" hidden="false" customHeight="false" outlineLevel="0" collapsed="false">
      <c r="A9" s="0" t="n">
        <v>8</v>
      </c>
      <c r="B9" s="2" t="n">
        <v>45761.6597222222</v>
      </c>
      <c r="C9" s="0" t="s">
        <v>9</v>
      </c>
      <c r="D9" s="3" t="n">
        <v>17.2</v>
      </c>
      <c r="E9" s="3" t="n">
        <v>17.9</v>
      </c>
      <c r="F9" s="4" t="n">
        <v>81</v>
      </c>
      <c r="G9" s="4" t="n">
        <v>1018</v>
      </c>
      <c r="H9" s="0" t="s">
        <v>10</v>
      </c>
      <c r="I9" s="3" t="n">
        <v>25.4</v>
      </c>
    </row>
    <row r="10" customFormat="false" ht="15" hidden="false" customHeight="false" outlineLevel="0" collapsed="false">
      <c r="A10" s="0" t="n">
        <v>9</v>
      </c>
      <c r="B10" s="2" t="n">
        <v>45762.3819444445</v>
      </c>
      <c r="C10" s="0" t="s">
        <v>9</v>
      </c>
      <c r="D10" s="3" t="n">
        <v>16.3</v>
      </c>
      <c r="E10" s="3" t="n">
        <v>16.3</v>
      </c>
      <c r="F10" s="4" t="n">
        <v>95</v>
      </c>
      <c r="G10" s="4" t="n">
        <v>1016</v>
      </c>
      <c r="H10" s="0" t="s">
        <v>11</v>
      </c>
      <c r="I10" s="3" t="n">
        <v>26.5</v>
      </c>
    </row>
    <row r="11" customFormat="false" ht="15" hidden="false" customHeight="false" outlineLevel="0" collapsed="false">
      <c r="A11" s="0" t="n">
        <v>10</v>
      </c>
      <c r="B11" s="2" t="n">
        <v>45763.5833333333</v>
      </c>
      <c r="C11" s="0" t="s">
        <v>9</v>
      </c>
      <c r="D11" s="3" t="n">
        <v>18.5</v>
      </c>
      <c r="E11" s="3" t="n">
        <v>18.3</v>
      </c>
      <c r="F11" s="4" t="n">
        <v>63</v>
      </c>
      <c r="G11" s="4" t="n">
        <v>1022</v>
      </c>
      <c r="H11" s="0" t="s">
        <v>10</v>
      </c>
      <c r="I11" s="3" t="n">
        <v>17.6</v>
      </c>
    </row>
    <row r="12" customFormat="false" ht="15" hidden="false" customHeight="false" outlineLevel="0" collapsed="false">
      <c r="A12" s="0" t="n">
        <v>11</v>
      </c>
      <c r="B12" s="2" t="n">
        <v>45764.4097222222</v>
      </c>
      <c r="C12" s="0" t="s">
        <v>9</v>
      </c>
      <c r="D12" s="3" t="n">
        <v>12.8</v>
      </c>
      <c r="E12" s="3" t="n">
        <v>12</v>
      </c>
      <c r="F12" s="4" t="n">
        <v>67</v>
      </c>
      <c r="G12" s="4" t="n">
        <v>1023</v>
      </c>
      <c r="H12" s="0" t="s">
        <v>10</v>
      </c>
      <c r="I12" s="3" t="n">
        <v>16.1</v>
      </c>
    </row>
    <row r="13" customFormat="false" ht="15" hidden="false" customHeight="false" outlineLevel="0" collapsed="false">
      <c r="A13" s="0" t="n">
        <v>12</v>
      </c>
      <c r="B13" s="2" t="n">
        <v>45765.4305555556</v>
      </c>
      <c r="C13" s="0" t="s">
        <v>9</v>
      </c>
      <c r="D13" s="3" t="n">
        <v>15.9</v>
      </c>
      <c r="E13" s="3" t="n">
        <v>15.9</v>
      </c>
      <c r="F13" s="4" t="n">
        <v>88</v>
      </c>
      <c r="G13" s="4" t="n">
        <v>1014</v>
      </c>
      <c r="H13" s="0" t="s">
        <v>14</v>
      </c>
      <c r="I13" s="3" t="n">
        <v>17.1</v>
      </c>
    </row>
    <row r="14" customFormat="false" ht="15" hidden="false" customHeight="false" outlineLevel="0" collapsed="false">
      <c r="A14" s="0" t="n">
        <v>13</v>
      </c>
      <c r="B14" s="2" t="n">
        <v>45766.6527777778</v>
      </c>
      <c r="C14" s="0" t="s">
        <v>9</v>
      </c>
      <c r="D14" s="3" t="n">
        <v>17</v>
      </c>
      <c r="E14" s="3" t="n">
        <v>16.2</v>
      </c>
      <c r="F14" s="4" t="n">
        <v>95</v>
      </c>
      <c r="G14" s="4" t="n">
        <v>1021</v>
      </c>
      <c r="H14" s="0" t="s">
        <v>15</v>
      </c>
      <c r="I14" s="3" t="n">
        <v>21.3</v>
      </c>
    </row>
    <row r="15" customFormat="false" ht="15" hidden="false" customHeight="false" outlineLevel="0" collapsed="false">
      <c r="A15" s="0" t="n">
        <v>14</v>
      </c>
      <c r="B15" s="2" t="n">
        <v>45767.5347222222</v>
      </c>
      <c r="C15" s="0" t="s">
        <v>9</v>
      </c>
      <c r="D15" s="3" t="n">
        <v>18.4</v>
      </c>
      <c r="E15" s="3" t="n">
        <v>18.7</v>
      </c>
      <c r="F15" s="4" t="n">
        <v>72</v>
      </c>
      <c r="G15" s="4" t="n">
        <v>1016</v>
      </c>
      <c r="H15" s="0" t="s">
        <v>10</v>
      </c>
      <c r="I15" s="3" t="n">
        <v>26.7</v>
      </c>
    </row>
    <row r="16" customFormat="false" ht="15" hidden="false" customHeight="false" outlineLevel="0" collapsed="false">
      <c r="A16" s="0" t="n">
        <v>15</v>
      </c>
      <c r="B16" s="2" t="n">
        <v>45768.6736111111</v>
      </c>
      <c r="C16" s="0" t="s">
        <v>9</v>
      </c>
      <c r="D16" s="3" t="n">
        <v>19.5</v>
      </c>
      <c r="E16" s="3" t="n">
        <v>20.5</v>
      </c>
      <c r="F16" s="4" t="n">
        <v>67</v>
      </c>
      <c r="G16" s="4" t="n">
        <v>1019</v>
      </c>
      <c r="H16" s="0" t="s">
        <v>16</v>
      </c>
      <c r="I16" s="3" t="n">
        <v>19.6</v>
      </c>
    </row>
    <row r="17" customFormat="false" ht="15" hidden="false" customHeight="false" outlineLevel="0" collapsed="false">
      <c r="A17" s="0" t="n">
        <v>16</v>
      </c>
      <c r="B17" s="2" t="n">
        <v>45769.6111111111</v>
      </c>
      <c r="C17" s="0" t="s">
        <v>9</v>
      </c>
      <c r="D17" s="3" t="n">
        <v>19.9</v>
      </c>
      <c r="E17" s="3" t="n">
        <v>18.9</v>
      </c>
      <c r="F17" s="4" t="n">
        <v>77</v>
      </c>
      <c r="G17" s="4" t="n">
        <v>1010</v>
      </c>
      <c r="H17" s="0" t="s">
        <v>15</v>
      </c>
      <c r="I17" s="3" t="n">
        <v>17.6</v>
      </c>
    </row>
    <row r="18" customFormat="false" ht="15" hidden="false" customHeight="false" outlineLevel="0" collapsed="false">
      <c r="A18" s="0" t="n">
        <v>17</v>
      </c>
      <c r="B18" s="2" t="n">
        <v>45770.8888888889</v>
      </c>
      <c r="C18" s="0" t="s">
        <v>9</v>
      </c>
      <c r="D18" s="3" t="n">
        <v>21.9</v>
      </c>
      <c r="E18" s="3" t="n">
        <v>21.3</v>
      </c>
      <c r="F18" s="4" t="n">
        <v>65</v>
      </c>
      <c r="G18" s="4" t="n">
        <v>1019</v>
      </c>
      <c r="H18" s="0" t="s">
        <v>13</v>
      </c>
      <c r="I18" s="3" t="n">
        <v>19.6</v>
      </c>
    </row>
    <row r="19" customFormat="false" ht="15" hidden="false" customHeight="false" outlineLevel="0" collapsed="false">
      <c r="A19" s="0" t="n">
        <v>18</v>
      </c>
      <c r="B19" s="2" t="n">
        <v>45771.2916666667</v>
      </c>
      <c r="C19" s="0" t="s">
        <v>9</v>
      </c>
      <c r="D19" s="3" t="n">
        <v>16</v>
      </c>
      <c r="E19" s="3" t="n">
        <v>17.2</v>
      </c>
      <c r="F19" s="4" t="n">
        <v>67</v>
      </c>
      <c r="G19" s="4" t="n">
        <v>1020</v>
      </c>
      <c r="H19" s="0" t="s">
        <v>10</v>
      </c>
      <c r="I19" s="3" t="n">
        <v>20.7</v>
      </c>
    </row>
    <row r="20" customFormat="false" ht="15" hidden="false" customHeight="false" outlineLevel="0" collapsed="false">
      <c r="A20" s="0" t="n">
        <v>19</v>
      </c>
      <c r="B20" s="2" t="n">
        <v>45772.8055555556</v>
      </c>
      <c r="C20" s="0" t="s">
        <v>9</v>
      </c>
      <c r="D20" s="3" t="n">
        <v>18.8</v>
      </c>
      <c r="E20" s="3" t="n">
        <v>18.4</v>
      </c>
      <c r="F20" s="4" t="n">
        <v>67</v>
      </c>
      <c r="G20" s="4" t="n">
        <v>1015</v>
      </c>
      <c r="H20" s="0" t="s">
        <v>16</v>
      </c>
      <c r="I20" s="3" t="n">
        <v>14.5</v>
      </c>
    </row>
    <row r="21" customFormat="false" ht="15" hidden="false" customHeight="false" outlineLevel="0" collapsed="false">
      <c r="A21" s="0" t="n">
        <v>20</v>
      </c>
      <c r="B21" s="2" t="n">
        <v>45773.2916666667</v>
      </c>
      <c r="C21" s="0" t="s">
        <v>9</v>
      </c>
      <c r="D21" s="3" t="n">
        <v>13.9</v>
      </c>
      <c r="E21" s="3" t="n">
        <v>14.8</v>
      </c>
      <c r="F21" s="4" t="n">
        <v>69</v>
      </c>
      <c r="G21" s="4" t="n">
        <v>1020</v>
      </c>
      <c r="H21" s="0" t="s">
        <v>10</v>
      </c>
      <c r="I21" s="3" t="n">
        <v>16.3</v>
      </c>
    </row>
    <row r="22" customFormat="false" ht="15" hidden="false" customHeight="false" outlineLevel="0" collapsed="false">
      <c r="A22" s="0" t="n">
        <v>21</v>
      </c>
      <c r="B22" s="2" t="n">
        <v>45774.6736111111</v>
      </c>
      <c r="C22" s="0" t="s">
        <v>9</v>
      </c>
      <c r="D22" s="3" t="n">
        <v>20</v>
      </c>
      <c r="E22" s="3" t="n">
        <v>21</v>
      </c>
      <c r="F22" s="4" t="n">
        <v>77</v>
      </c>
      <c r="G22" s="4" t="n">
        <v>1016</v>
      </c>
      <c r="H22" s="0" t="s">
        <v>16</v>
      </c>
      <c r="I22" s="3" t="n">
        <v>17</v>
      </c>
    </row>
    <row r="23" customFormat="false" ht="15" hidden="false" customHeight="false" outlineLevel="0" collapsed="false">
      <c r="A23" s="0" t="n">
        <v>22</v>
      </c>
      <c r="B23" s="2" t="n">
        <v>45775.5902777778</v>
      </c>
      <c r="C23" s="0" t="s">
        <v>9</v>
      </c>
      <c r="D23" s="3" t="n">
        <v>15.9</v>
      </c>
      <c r="E23" s="3" t="n">
        <v>14.9</v>
      </c>
      <c r="F23" s="4" t="n">
        <v>71</v>
      </c>
      <c r="G23" s="4" t="n">
        <v>1019</v>
      </c>
      <c r="H23" s="0" t="s">
        <v>16</v>
      </c>
      <c r="I23" s="3" t="n">
        <v>23.3</v>
      </c>
    </row>
    <row r="24" customFormat="false" ht="15" hidden="false" customHeight="false" outlineLevel="0" collapsed="false">
      <c r="A24" s="0" t="n">
        <v>23</v>
      </c>
      <c r="B24" s="2" t="n">
        <v>45776.8611111111</v>
      </c>
      <c r="C24" s="0" t="s">
        <v>9</v>
      </c>
      <c r="D24" s="3" t="n">
        <v>18.7</v>
      </c>
      <c r="E24" s="3" t="n">
        <v>18.5</v>
      </c>
      <c r="F24" s="4" t="n">
        <v>69</v>
      </c>
      <c r="G24" s="4" t="n">
        <v>1011</v>
      </c>
      <c r="H24" s="0" t="s">
        <v>10</v>
      </c>
      <c r="I24" s="3" t="n">
        <v>16.7</v>
      </c>
    </row>
    <row r="25" customFormat="false" ht="15" hidden="false" customHeight="false" outlineLevel="0" collapsed="false">
      <c r="A25" s="0" t="n">
        <v>24</v>
      </c>
      <c r="B25" s="2" t="n">
        <v>45777.8194444445</v>
      </c>
      <c r="C25" s="0" t="s">
        <v>9</v>
      </c>
      <c r="D25" s="3" t="n">
        <v>18.5</v>
      </c>
      <c r="E25" s="3" t="n">
        <v>18.3</v>
      </c>
      <c r="F25" s="4" t="n">
        <v>86</v>
      </c>
      <c r="G25" s="4" t="n">
        <v>1017</v>
      </c>
      <c r="H25" s="0" t="s">
        <v>12</v>
      </c>
      <c r="I25" s="3" t="n">
        <v>17.3</v>
      </c>
    </row>
    <row r="26" customFormat="false" ht="15" hidden="false" customHeight="false" outlineLevel="0" collapsed="false">
      <c r="A26" s="0" t="n">
        <v>25</v>
      </c>
      <c r="B26" s="2" t="n">
        <v>45778.25</v>
      </c>
      <c r="C26" s="0" t="s">
        <v>9</v>
      </c>
      <c r="D26" s="3" t="n">
        <v>15.4</v>
      </c>
      <c r="E26" s="3" t="n">
        <v>16.6</v>
      </c>
      <c r="F26" s="4" t="n">
        <v>76</v>
      </c>
      <c r="G26" s="4" t="n">
        <v>1021</v>
      </c>
      <c r="H26" s="0" t="s">
        <v>10</v>
      </c>
      <c r="I26" s="3" t="n">
        <v>18.5</v>
      </c>
    </row>
    <row r="27" customFormat="false" ht="15" hidden="false" customHeight="false" outlineLevel="0" collapsed="false">
      <c r="A27" s="0" t="n">
        <v>26</v>
      </c>
      <c r="B27" s="2" t="n">
        <v>45779.3680555556</v>
      </c>
      <c r="C27" s="0" t="s">
        <v>9</v>
      </c>
      <c r="D27" s="3" t="n">
        <v>17.7</v>
      </c>
      <c r="E27" s="3" t="n">
        <v>17.6</v>
      </c>
      <c r="F27" s="4" t="n">
        <v>58</v>
      </c>
      <c r="G27" s="4" t="n">
        <v>1024</v>
      </c>
      <c r="H27" s="0" t="s">
        <v>16</v>
      </c>
      <c r="I27" s="3" t="n">
        <v>23</v>
      </c>
    </row>
    <row r="28" customFormat="false" ht="15" hidden="false" customHeight="false" outlineLevel="0" collapsed="false">
      <c r="A28" s="0" t="n">
        <v>27</v>
      </c>
      <c r="B28" s="2" t="n">
        <v>45780.4444444445</v>
      </c>
      <c r="C28" s="0" t="s">
        <v>9</v>
      </c>
      <c r="D28" s="3" t="n">
        <v>16.2</v>
      </c>
      <c r="E28" s="3" t="n">
        <v>16.1</v>
      </c>
      <c r="F28" s="4" t="n">
        <v>79</v>
      </c>
      <c r="G28" s="4" t="n">
        <v>1023</v>
      </c>
      <c r="H28" s="0" t="s">
        <v>10</v>
      </c>
      <c r="I28" s="3" t="n">
        <v>17.5</v>
      </c>
    </row>
    <row r="29" customFormat="false" ht="15" hidden="false" customHeight="false" outlineLevel="0" collapsed="false">
      <c r="A29" s="0" t="n">
        <v>28</v>
      </c>
      <c r="B29" s="2" t="n">
        <v>45781.3055555556</v>
      </c>
      <c r="C29" s="0" t="s">
        <v>9</v>
      </c>
      <c r="D29" s="3" t="n">
        <v>11.8</v>
      </c>
      <c r="E29" s="3" t="n">
        <v>13</v>
      </c>
      <c r="F29" s="4" t="n">
        <v>81</v>
      </c>
      <c r="G29" s="4" t="n">
        <v>1023</v>
      </c>
      <c r="H29" s="0" t="s">
        <v>10</v>
      </c>
      <c r="I29" s="3" t="n">
        <v>17.1</v>
      </c>
    </row>
    <row r="30" customFormat="false" ht="15" hidden="false" customHeight="false" outlineLevel="0" collapsed="false">
      <c r="A30" s="0" t="n">
        <v>29</v>
      </c>
      <c r="B30" s="2" t="n">
        <v>45782.4375</v>
      </c>
      <c r="C30" s="0" t="s">
        <v>9</v>
      </c>
      <c r="D30" s="3" t="n">
        <v>14.1</v>
      </c>
      <c r="E30" s="3" t="n">
        <v>13.3</v>
      </c>
      <c r="F30" s="4" t="n">
        <v>65</v>
      </c>
      <c r="G30" s="4" t="n">
        <v>1019</v>
      </c>
      <c r="H30" s="0" t="s">
        <v>10</v>
      </c>
      <c r="I30" s="3" t="n">
        <v>15.6</v>
      </c>
    </row>
    <row r="31" customFormat="false" ht="15" hidden="false" customHeight="false" outlineLevel="0" collapsed="false">
      <c r="A31" s="0" t="n">
        <v>30</v>
      </c>
      <c r="B31" s="2" t="n">
        <v>45783.4166666667</v>
      </c>
      <c r="C31" s="0" t="s">
        <v>9</v>
      </c>
      <c r="D31" s="3" t="n">
        <v>16.7</v>
      </c>
      <c r="E31" s="3" t="n">
        <v>17.7</v>
      </c>
      <c r="F31" s="4" t="n">
        <v>70</v>
      </c>
      <c r="G31" s="4" t="n">
        <v>1019</v>
      </c>
      <c r="H31" s="0" t="s">
        <v>10</v>
      </c>
      <c r="I31" s="3" t="n">
        <v>20.5</v>
      </c>
    </row>
    <row r="32" customFormat="false" ht="15" hidden="false" customHeight="false" outlineLevel="0" collapsed="false">
      <c r="A32" s="0" t="n">
        <v>31</v>
      </c>
      <c r="B32" s="2" t="n">
        <v>45784.6388888889</v>
      </c>
      <c r="C32" s="0" t="s">
        <v>9</v>
      </c>
      <c r="D32" s="3" t="n">
        <v>19.1</v>
      </c>
      <c r="E32" s="3" t="n">
        <v>19.2</v>
      </c>
      <c r="F32" s="4" t="n">
        <v>84</v>
      </c>
      <c r="G32" s="4" t="n">
        <v>1014</v>
      </c>
      <c r="H32" s="0" t="s">
        <v>14</v>
      </c>
      <c r="I32" s="3" t="n">
        <v>17.2</v>
      </c>
    </row>
    <row r="33" customFormat="false" ht="15" hidden="false" customHeight="false" outlineLevel="0" collapsed="false">
      <c r="A33" s="0" t="n">
        <v>32</v>
      </c>
      <c r="B33" s="2" t="n">
        <v>45785.3055555556</v>
      </c>
      <c r="C33" s="0" t="s">
        <v>9</v>
      </c>
      <c r="D33" s="3" t="n">
        <v>17</v>
      </c>
      <c r="E33" s="3" t="n">
        <v>17.4</v>
      </c>
      <c r="F33" s="4" t="n">
        <v>72</v>
      </c>
      <c r="G33" s="4" t="n">
        <v>1016</v>
      </c>
      <c r="H33" s="0" t="s">
        <v>14</v>
      </c>
      <c r="I33" s="3" t="n">
        <v>17.2</v>
      </c>
    </row>
    <row r="34" customFormat="false" ht="15" hidden="false" customHeight="false" outlineLevel="0" collapsed="false">
      <c r="A34" s="0" t="n">
        <v>33</v>
      </c>
      <c r="B34" s="2" t="n">
        <v>45786.5347222222</v>
      </c>
      <c r="C34" s="0" t="s">
        <v>9</v>
      </c>
      <c r="D34" s="3" t="n">
        <v>16.8</v>
      </c>
      <c r="E34" s="3" t="n">
        <v>18</v>
      </c>
      <c r="F34" s="4" t="n">
        <v>80</v>
      </c>
      <c r="G34" s="4" t="n">
        <v>1017</v>
      </c>
      <c r="H34" s="0" t="s">
        <v>14</v>
      </c>
      <c r="I34" s="3" t="n">
        <v>15.6</v>
      </c>
    </row>
    <row r="35" customFormat="false" ht="15" hidden="false" customHeight="false" outlineLevel="0" collapsed="false">
      <c r="A35" s="0" t="n">
        <v>34</v>
      </c>
      <c r="B35" s="2" t="n">
        <v>45787.5763888889</v>
      </c>
      <c r="C35" s="0" t="s">
        <v>9</v>
      </c>
      <c r="D35" s="3" t="n">
        <v>18.6</v>
      </c>
      <c r="E35" s="3" t="n">
        <v>18.3</v>
      </c>
      <c r="F35" s="4" t="n">
        <v>66</v>
      </c>
      <c r="G35" s="4" t="n">
        <v>1020</v>
      </c>
      <c r="H35" s="0" t="s">
        <v>10</v>
      </c>
      <c r="I35" s="3" t="n">
        <v>17.5</v>
      </c>
    </row>
    <row r="36" customFormat="false" ht="15" hidden="false" customHeight="false" outlineLevel="0" collapsed="false">
      <c r="A36" s="0" t="n">
        <v>35</v>
      </c>
      <c r="B36" s="2" t="n">
        <v>45788.3888888889</v>
      </c>
      <c r="C36" s="0" t="s">
        <v>9</v>
      </c>
      <c r="D36" s="3" t="n">
        <v>18</v>
      </c>
      <c r="E36" s="3" t="n">
        <v>18.7</v>
      </c>
      <c r="F36" s="4" t="n">
        <v>80</v>
      </c>
      <c r="G36" s="4" t="n">
        <v>1015</v>
      </c>
      <c r="H36" s="0" t="s">
        <v>10</v>
      </c>
      <c r="I36" s="3" t="n">
        <v>19.8</v>
      </c>
    </row>
    <row r="37" customFormat="false" ht="15" hidden="false" customHeight="false" outlineLevel="0" collapsed="false">
      <c r="A37" s="0" t="n">
        <v>36</v>
      </c>
      <c r="B37" s="2" t="n">
        <v>45789.8194444445</v>
      </c>
      <c r="C37" s="0" t="s">
        <v>9</v>
      </c>
      <c r="D37" s="3" t="n">
        <v>20</v>
      </c>
      <c r="E37" s="3" t="n">
        <v>19.3</v>
      </c>
      <c r="F37" s="4" t="n">
        <v>91</v>
      </c>
      <c r="G37" s="4" t="n">
        <v>1017</v>
      </c>
      <c r="H37" s="0" t="s">
        <v>13</v>
      </c>
      <c r="I37" s="3" t="n">
        <v>15.2</v>
      </c>
    </row>
    <row r="38" customFormat="false" ht="15" hidden="false" customHeight="false" outlineLevel="0" collapsed="false">
      <c r="A38" s="0" t="n">
        <v>37</v>
      </c>
      <c r="B38" s="2" t="n">
        <v>45790.4236111111</v>
      </c>
      <c r="C38" s="0" t="s">
        <v>9</v>
      </c>
      <c r="D38" s="3" t="n">
        <v>15.2</v>
      </c>
      <c r="E38" s="3" t="n">
        <v>16.2</v>
      </c>
      <c r="F38" s="4" t="n">
        <v>84</v>
      </c>
      <c r="G38" s="4" t="n">
        <v>1019</v>
      </c>
      <c r="H38" s="0" t="s">
        <v>16</v>
      </c>
      <c r="I38" s="3" t="n">
        <v>19</v>
      </c>
    </row>
    <row r="39" customFormat="false" ht="15" hidden="false" customHeight="false" outlineLevel="0" collapsed="false">
      <c r="A39" s="0" t="n">
        <v>38</v>
      </c>
      <c r="B39" s="2" t="n">
        <v>45791.4652777778</v>
      </c>
      <c r="C39" s="0" t="s">
        <v>9</v>
      </c>
      <c r="D39" s="3" t="n">
        <v>19.4</v>
      </c>
      <c r="E39" s="3" t="n">
        <v>18.5</v>
      </c>
      <c r="F39" s="4" t="n">
        <v>77</v>
      </c>
      <c r="G39" s="4" t="n">
        <v>1017</v>
      </c>
      <c r="H39" s="0" t="s">
        <v>12</v>
      </c>
      <c r="I39" s="3" t="n">
        <v>14.9</v>
      </c>
    </row>
    <row r="40" customFormat="false" ht="15" hidden="false" customHeight="false" outlineLevel="0" collapsed="false">
      <c r="A40" s="0" t="n">
        <v>39</v>
      </c>
      <c r="B40" s="2" t="n">
        <v>45792.7916666667</v>
      </c>
      <c r="C40" s="0" t="s">
        <v>9</v>
      </c>
      <c r="D40" s="3" t="n">
        <v>22.6</v>
      </c>
      <c r="E40" s="3" t="n">
        <v>23</v>
      </c>
      <c r="F40" s="4" t="n">
        <v>66</v>
      </c>
      <c r="G40" s="4" t="n">
        <v>1013</v>
      </c>
      <c r="H40" s="0" t="s">
        <v>10</v>
      </c>
      <c r="I40" s="3" t="n">
        <v>17.4</v>
      </c>
    </row>
    <row r="41" customFormat="false" ht="15" hidden="false" customHeight="false" outlineLevel="0" collapsed="false">
      <c r="A41" s="0" t="n">
        <v>40</v>
      </c>
      <c r="B41" s="2" t="n">
        <v>45793.4930555556</v>
      </c>
      <c r="C41" s="0" t="s">
        <v>9</v>
      </c>
      <c r="D41" s="3" t="n">
        <v>17.6</v>
      </c>
      <c r="E41" s="3" t="n">
        <v>16.5</v>
      </c>
      <c r="F41" s="4" t="n">
        <v>74</v>
      </c>
      <c r="G41" s="4" t="n">
        <v>1013</v>
      </c>
      <c r="H41" s="0" t="s">
        <v>14</v>
      </c>
      <c r="I41" s="3" t="n">
        <v>18.1</v>
      </c>
    </row>
    <row r="42" customFormat="false" ht="15" hidden="false" customHeight="false" outlineLevel="0" collapsed="false">
      <c r="A42" s="0" t="n">
        <v>41</v>
      </c>
      <c r="B42" s="2" t="n">
        <v>45794.6875</v>
      </c>
      <c r="C42" s="0" t="s">
        <v>9</v>
      </c>
      <c r="D42" s="3" t="n">
        <v>17.9</v>
      </c>
      <c r="E42" s="3" t="n">
        <v>18.3</v>
      </c>
      <c r="F42" s="4" t="n">
        <v>85</v>
      </c>
      <c r="G42" s="4" t="n">
        <v>1017</v>
      </c>
      <c r="H42" s="0" t="s">
        <v>17</v>
      </c>
      <c r="I42" s="3" t="n">
        <v>13.9</v>
      </c>
    </row>
    <row r="43" customFormat="false" ht="15" hidden="false" customHeight="false" outlineLevel="0" collapsed="false">
      <c r="A43" s="0" t="n">
        <v>42</v>
      </c>
      <c r="B43" s="2" t="n">
        <v>45795.5555555556</v>
      </c>
      <c r="C43" s="0" t="s">
        <v>9</v>
      </c>
      <c r="D43" s="3" t="n">
        <v>17.8</v>
      </c>
      <c r="E43" s="3" t="n">
        <v>17.2</v>
      </c>
      <c r="F43" s="4" t="n">
        <v>58</v>
      </c>
      <c r="G43" s="4" t="n">
        <v>1011</v>
      </c>
      <c r="H43" s="0" t="s">
        <v>10</v>
      </c>
      <c r="I43" s="3" t="n">
        <v>19.6</v>
      </c>
    </row>
    <row r="44" customFormat="false" ht="15" hidden="false" customHeight="false" outlineLevel="0" collapsed="false">
      <c r="A44" s="0" t="n">
        <v>43</v>
      </c>
      <c r="B44" s="2" t="n">
        <v>45796.4930555556</v>
      </c>
      <c r="C44" s="0" t="s">
        <v>9</v>
      </c>
      <c r="D44" s="3" t="n">
        <v>18.2</v>
      </c>
      <c r="E44" s="3" t="n">
        <v>18.8</v>
      </c>
      <c r="F44" s="4" t="n">
        <v>93</v>
      </c>
      <c r="G44" s="4" t="n">
        <v>1016</v>
      </c>
      <c r="H44" s="0" t="s">
        <v>15</v>
      </c>
      <c r="I44" s="3" t="n">
        <v>18.1</v>
      </c>
    </row>
    <row r="45" customFormat="false" ht="15" hidden="false" customHeight="false" outlineLevel="0" collapsed="false">
      <c r="A45" s="0" t="n">
        <v>44</v>
      </c>
      <c r="B45" s="2" t="n">
        <v>45797.3958333333</v>
      </c>
      <c r="C45" s="0" t="s">
        <v>9</v>
      </c>
      <c r="D45" s="3" t="n">
        <v>16.1</v>
      </c>
      <c r="E45" s="3" t="n">
        <v>16.9</v>
      </c>
      <c r="F45" s="4" t="n">
        <v>86</v>
      </c>
      <c r="G45" s="4" t="n">
        <v>1012</v>
      </c>
      <c r="H45" s="0" t="s">
        <v>11</v>
      </c>
      <c r="I45" s="3" t="n">
        <v>25.2</v>
      </c>
    </row>
    <row r="46" customFormat="false" ht="15" hidden="false" customHeight="false" outlineLevel="0" collapsed="false">
      <c r="A46" s="0" t="n">
        <v>45</v>
      </c>
      <c r="B46" s="2" t="n">
        <v>45798.3125</v>
      </c>
      <c r="C46" s="0" t="s">
        <v>9</v>
      </c>
      <c r="D46" s="3" t="n">
        <v>17.9</v>
      </c>
      <c r="E46" s="3" t="n">
        <v>16.8</v>
      </c>
      <c r="F46" s="4" t="n">
        <v>68</v>
      </c>
      <c r="G46" s="4" t="n">
        <v>1014</v>
      </c>
      <c r="H46" s="0" t="s">
        <v>12</v>
      </c>
      <c r="I46" s="3" t="n">
        <v>17.3</v>
      </c>
    </row>
    <row r="47" customFormat="false" ht="15" hidden="false" customHeight="false" outlineLevel="0" collapsed="false">
      <c r="A47" s="0" t="n">
        <v>46</v>
      </c>
      <c r="B47" s="2" t="n">
        <v>45799.5486111111</v>
      </c>
      <c r="C47" s="0" t="s">
        <v>9</v>
      </c>
      <c r="D47" s="3" t="n">
        <v>19.2</v>
      </c>
      <c r="E47" s="3" t="n">
        <v>20.1</v>
      </c>
      <c r="F47" s="4" t="n">
        <v>59</v>
      </c>
      <c r="G47" s="4" t="n">
        <v>1010</v>
      </c>
      <c r="H47" s="0" t="s">
        <v>10</v>
      </c>
      <c r="I47" s="3" t="n">
        <v>15.4</v>
      </c>
    </row>
    <row r="48" customFormat="false" ht="15" hidden="false" customHeight="false" outlineLevel="0" collapsed="false">
      <c r="A48" s="0" t="n">
        <v>47</v>
      </c>
      <c r="B48" s="2" t="n">
        <v>45800.8472222222</v>
      </c>
      <c r="C48" s="0" t="s">
        <v>9</v>
      </c>
      <c r="D48" s="3" t="n">
        <v>22.1</v>
      </c>
      <c r="E48" s="3" t="n">
        <v>22</v>
      </c>
      <c r="F48" s="4" t="n">
        <v>75</v>
      </c>
      <c r="G48" s="4" t="n">
        <v>1019</v>
      </c>
      <c r="H48" s="0" t="s">
        <v>10</v>
      </c>
      <c r="I48" s="3" t="n">
        <v>13.5</v>
      </c>
    </row>
    <row r="49" customFormat="false" ht="15" hidden="false" customHeight="false" outlineLevel="0" collapsed="false">
      <c r="A49" s="0" t="n">
        <v>48</v>
      </c>
      <c r="B49" s="2" t="n">
        <v>45801.6319444445</v>
      </c>
      <c r="C49" s="0" t="s">
        <v>9</v>
      </c>
      <c r="D49" s="3" t="n">
        <v>20.1</v>
      </c>
      <c r="E49" s="3" t="n">
        <v>21.2</v>
      </c>
      <c r="F49" s="4" t="n">
        <v>78</v>
      </c>
      <c r="G49" s="4" t="n">
        <v>1014</v>
      </c>
      <c r="H49" s="0" t="s">
        <v>11</v>
      </c>
      <c r="I49" s="3" t="n">
        <v>22.2</v>
      </c>
    </row>
    <row r="50" customFormat="false" ht="15" hidden="false" customHeight="false" outlineLevel="0" collapsed="false">
      <c r="A50" s="0" t="n">
        <v>49</v>
      </c>
      <c r="B50" s="2" t="n">
        <v>45802.5416666667</v>
      </c>
      <c r="C50" s="0" t="s">
        <v>9</v>
      </c>
      <c r="D50" s="3" t="n">
        <v>19.1</v>
      </c>
      <c r="E50" s="3" t="n">
        <v>18.2</v>
      </c>
      <c r="F50" s="4" t="n">
        <v>59</v>
      </c>
      <c r="G50" s="4" t="n">
        <v>1008</v>
      </c>
      <c r="H50" s="0" t="s">
        <v>10</v>
      </c>
      <c r="I50" s="3" t="n">
        <v>22.3</v>
      </c>
    </row>
    <row r="51" customFormat="false" ht="15" hidden="false" customHeight="false" outlineLevel="0" collapsed="false">
      <c r="A51" s="0" t="n">
        <v>50</v>
      </c>
      <c r="B51" s="2" t="n">
        <v>45803.5208333333</v>
      </c>
      <c r="C51" s="0" t="s">
        <v>9</v>
      </c>
      <c r="D51" s="3" t="n">
        <v>20.3</v>
      </c>
      <c r="E51" s="3" t="n">
        <v>20.7</v>
      </c>
      <c r="F51" s="4" t="n">
        <v>59</v>
      </c>
      <c r="G51" s="4" t="n">
        <v>1014</v>
      </c>
      <c r="H51" s="0" t="s">
        <v>10</v>
      </c>
      <c r="I51" s="3" t="n">
        <v>16.8</v>
      </c>
    </row>
    <row r="52" customFormat="false" ht="15" hidden="false" customHeight="false" outlineLevel="0" collapsed="false">
      <c r="A52" s="0" t="n">
        <v>51</v>
      </c>
      <c r="B52" s="2" t="n">
        <v>45804.6805555556</v>
      </c>
      <c r="C52" s="0" t="s">
        <v>9</v>
      </c>
      <c r="D52" s="3" t="n">
        <v>19.3</v>
      </c>
      <c r="E52" s="3" t="n">
        <v>20.1</v>
      </c>
      <c r="F52" s="4" t="n">
        <v>78</v>
      </c>
      <c r="G52" s="4" t="n">
        <v>1018</v>
      </c>
      <c r="H52" s="0" t="s">
        <v>14</v>
      </c>
      <c r="I52" s="3" t="n">
        <v>18.9</v>
      </c>
    </row>
    <row r="53" customFormat="false" ht="15" hidden="false" customHeight="false" outlineLevel="0" collapsed="false">
      <c r="A53" s="0" t="n">
        <v>52</v>
      </c>
      <c r="B53" s="2" t="n">
        <v>45805.3472222222</v>
      </c>
      <c r="C53" s="0" t="s">
        <v>9</v>
      </c>
      <c r="D53" s="3" t="n">
        <v>17.1</v>
      </c>
      <c r="E53" s="3" t="n">
        <v>17</v>
      </c>
      <c r="F53" s="4" t="n">
        <v>76</v>
      </c>
      <c r="G53" s="4" t="n">
        <v>1017</v>
      </c>
      <c r="H53" s="0" t="s">
        <v>12</v>
      </c>
      <c r="I53" s="3" t="n">
        <v>19.4</v>
      </c>
    </row>
    <row r="54" customFormat="false" ht="15" hidden="false" customHeight="false" outlineLevel="0" collapsed="false">
      <c r="A54" s="0" t="n">
        <v>53</v>
      </c>
      <c r="B54" s="2" t="n">
        <v>45806.7430555556</v>
      </c>
      <c r="C54" s="0" t="s">
        <v>9</v>
      </c>
      <c r="D54" s="3" t="n">
        <v>21.1</v>
      </c>
      <c r="E54" s="3" t="n">
        <v>21.5</v>
      </c>
      <c r="F54" s="4" t="n">
        <v>54</v>
      </c>
      <c r="G54" s="4" t="n">
        <v>1019</v>
      </c>
      <c r="H54" s="0" t="s">
        <v>10</v>
      </c>
      <c r="I54" s="3" t="n">
        <v>25</v>
      </c>
    </row>
    <row r="55" customFormat="false" ht="15" hidden="false" customHeight="false" outlineLevel="0" collapsed="false">
      <c r="A55" s="0" t="n">
        <v>54</v>
      </c>
      <c r="B55" s="2" t="n">
        <v>45808.7847222222</v>
      </c>
      <c r="C55" s="0" t="s">
        <v>9</v>
      </c>
      <c r="D55" s="3" t="n">
        <v>22</v>
      </c>
      <c r="E55" s="3" t="n">
        <v>22.8</v>
      </c>
      <c r="F55" s="4" t="n">
        <v>65</v>
      </c>
      <c r="G55" s="4" t="n">
        <v>1018</v>
      </c>
      <c r="H55" s="0" t="s">
        <v>12</v>
      </c>
      <c r="I55" s="3" t="n">
        <v>14.4</v>
      </c>
    </row>
    <row r="56" customFormat="false" ht="15" hidden="false" customHeight="false" outlineLevel="0" collapsed="false">
      <c r="A56" s="0" t="n">
        <v>55</v>
      </c>
      <c r="B56" s="2" t="n">
        <v>45809.6666666667</v>
      </c>
      <c r="C56" s="0" t="s">
        <v>9</v>
      </c>
      <c r="D56" s="3" t="n">
        <v>22</v>
      </c>
      <c r="E56" s="3" t="n">
        <v>22.2</v>
      </c>
      <c r="F56" s="4" t="n">
        <v>65</v>
      </c>
      <c r="G56" s="4" t="n">
        <v>1023</v>
      </c>
      <c r="H56" s="0" t="s">
        <v>10</v>
      </c>
      <c r="I56" s="3" t="n">
        <v>15.4</v>
      </c>
    </row>
    <row r="57" customFormat="false" ht="15" hidden="false" customHeight="false" outlineLevel="0" collapsed="false">
      <c r="A57" s="0" t="n">
        <v>56</v>
      </c>
      <c r="B57" s="2" t="n">
        <v>45810.3888888889</v>
      </c>
      <c r="C57" s="0" t="s">
        <v>9</v>
      </c>
      <c r="D57" s="3" t="n">
        <v>17.7</v>
      </c>
      <c r="E57" s="3" t="n">
        <v>18.6</v>
      </c>
      <c r="F57" s="4" t="n">
        <v>55</v>
      </c>
      <c r="G57" s="4" t="n">
        <v>1016</v>
      </c>
      <c r="H57" s="0" t="s">
        <v>10</v>
      </c>
      <c r="I57" s="3" t="n">
        <v>14.6</v>
      </c>
    </row>
    <row r="58" customFormat="false" ht="15" hidden="false" customHeight="false" outlineLevel="0" collapsed="false">
      <c r="A58" s="0" t="n">
        <v>57</v>
      </c>
      <c r="B58" s="2" t="n">
        <v>45811.4861111111</v>
      </c>
      <c r="C58" s="0" t="s">
        <v>9</v>
      </c>
      <c r="D58" s="3" t="n">
        <v>18.9</v>
      </c>
      <c r="E58" s="3" t="n">
        <v>18</v>
      </c>
      <c r="F58" s="4" t="n">
        <v>58</v>
      </c>
      <c r="G58" s="4" t="n">
        <v>1020</v>
      </c>
      <c r="H58" s="0" t="s">
        <v>10</v>
      </c>
      <c r="I58" s="3" t="n">
        <v>19.8</v>
      </c>
    </row>
    <row r="59" customFormat="false" ht="15" hidden="false" customHeight="false" outlineLevel="0" collapsed="false">
      <c r="A59" s="0" t="n">
        <v>58</v>
      </c>
      <c r="B59" s="2" t="n">
        <v>45812.5833333333</v>
      </c>
      <c r="C59" s="0" t="s">
        <v>9</v>
      </c>
      <c r="D59" s="3" t="n">
        <v>21.9</v>
      </c>
      <c r="E59" s="3" t="n">
        <v>22.5</v>
      </c>
      <c r="F59" s="4" t="n">
        <v>75</v>
      </c>
      <c r="G59" s="4" t="n">
        <v>1010</v>
      </c>
      <c r="H59" s="0" t="s">
        <v>17</v>
      </c>
      <c r="I59" s="3" t="n">
        <v>15.6</v>
      </c>
    </row>
    <row r="60" customFormat="false" ht="15" hidden="false" customHeight="false" outlineLevel="0" collapsed="false">
      <c r="A60" s="0" t="n">
        <v>59</v>
      </c>
      <c r="B60" s="2" t="n">
        <v>45813.4027777778</v>
      </c>
      <c r="C60" s="0" t="s">
        <v>9</v>
      </c>
      <c r="D60" s="3" t="n">
        <v>15.3</v>
      </c>
      <c r="E60" s="3" t="n">
        <v>16.2</v>
      </c>
      <c r="F60" s="4" t="n">
        <v>70</v>
      </c>
      <c r="G60" s="4" t="n">
        <v>1019</v>
      </c>
      <c r="H60" s="0" t="s">
        <v>10</v>
      </c>
      <c r="I60" s="3" t="n">
        <v>16.4</v>
      </c>
    </row>
    <row r="61" customFormat="false" ht="15" hidden="false" customHeight="false" outlineLevel="0" collapsed="false">
      <c r="A61" s="0" t="n">
        <v>60</v>
      </c>
      <c r="B61" s="2" t="n">
        <v>45814.8055555556</v>
      </c>
      <c r="C61" s="0" t="s">
        <v>9</v>
      </c>
      <c r="D61" s="3" t="n">
        <v>20.6</v>
      </c>
      <c r="E61" s="3" t="n">
        <v>20.5</v>
      </c>
      <c r="F61" s="4" t="n">
        <v>65</v>
      </c>
      <c r="G61" s="4" t="n">
        <v>1017</v>
      </c>
      <c r="H61" s="0" t="s">
        <v>10</v>
      </c>
      <c r="I61" s="3" t="n">
        <v>16</v>
      </c>
    </row>
    <row r="62" customFormat="false" ht="15" hidden="false" customHeight="false" outlineLevel="0" collapsed="false">
      <c r="A62" s="0" t="n">
        <v>61</v>
      </c>
      <c r="B62" s="2" t="n">
        <v>45815.6875</v>
      </c>
      <c r="C62" s="0" t="s">
        <v>9</v>
      </c>
      <c r="D62" s="3" t="n">
        <v>21</v>
      </c>
      <c r="E62" s="3" t="n">
        <v>19.9</v>
      </c>
      <c r="F62" s="4" t="n">
        <v>67</v>
      </c>
      <c r="G62" s="4" t="n">
        <v>1007</v>
      </c>
      <c r="H62" s="0" t="s">
        <v>13</v>
      </c>
      <c r="I62" s="3" t="n">
        <v>22.5</v>
      </c>
    </row>
    <row r="63" customFormat="false" ht="15" hidden="false" customHeight="false" outlineLevel="0" collapsed="false">
      <c r="A63" s="0" t="n">
        <v>62</v>
      </c>
      <c r="B63" s="2" t="n">
        <v>45816.3958333333</v>
      </c>
      <c r="C63" s="0" t="s">
        <v>9</v>
      </c>
      <c r="D63" s="3" t="n">
        <v>16.7</v>
      </c>
      <c r="E63" s="3" t="n">
        <v>17.6</v>
      </c>
      <c r="F63" s="4" t="n">
        <v>75</v>
      </c>
      <c r="G63" s="4" t="n">
        <v>1012</v>
      </c>
      <c r="H63" s="0" t="s">
        <v>14</v>
      </c>
      <c r="I63" s="3" t="n">
        <v>14.7</v>
      </c>
    </row>
    <row r="64" customFormat="false" ht="15" hidden="false" customHeight="false" outlineLevel="0" collapsed="false">
      <c r="A64" s="0" t="n">
        <v>63</v>
      </c>
      <c r="B64" s="2" t="n">
        <v>45817.5138888889</v>
      </c>
      <c r="C64" s="0" t="s">
        <v>9</v>
      </c>
      <c r="D64" s="3" t="n">
        <v>17.5</v>
      </c>
      <c r="E64" s="3" t="n">
        <v>16.3</v>
      </c>
      <c r="F64" s="4" t="n">
        <v>62</v>
      </c>
      <c r="G64" s="4" t="n">
        <v>1019</v>
      </c>
      <c r="H64" s="0" t="s">
        <v>14</v>
      </c>
      <c r="I64" s="3" t="n">
        <v>19.7</v>
      </c>
    </row>
    <row r="65" customFormat="false" ht="15" hidden="false" customHeight="false" outlineLevel="0" collapsed="false">
      <c r="A65" s="0" t="n">
        <v>64</v>
      </c>
      <c r="B65" s="2" t="n">
        <v>45818.3263888889</v>
      </c>
      <c r="C65" s="0" t="s">
        <v>9</v>
      </c>
      <c r="D65" s="3" t="n">
        <v>16.9</v>
      </c>
      <c r="E65" s="3" t="n">
        <v>17.5</v>
      </c>
      <c r="F65" s="4" t="n">
        <v>80</v>
      </c>
      <c r="G65" s="4" t="n">
        <v>1021</v>
      </c>
      <c r="H65" s="0" t="s">
        <v>14</v>
      </c>
      <c r="I65" s="3" t="n">
        <v>23.6</v>
      </c>
    </row>
    <row r="66" customFormat="false" ht="15" hidden="false" customHeight="false" outlineLevel="0" collapsed="false">
      <c r="A66" s="0" t="n">
        <v>65</v>
      </c>
      <c r="B66" s="2" t="n">
        <v>45819.7916666667</v>
      </c>
      <c r="C66" s="0" t="s">
        <v>9</v>
      </c>
      <c r="D66" s="3" t="n">
        <v>21.5</v>
      </c>
      <c r="E66" s="3" t="n">
        <v>21.9</v>
      </c>
      <c r="F66" s="4" t="n">
        <v>60</v>
      </c>
      <c r="G66" s="4" t="n">
        <v>1016</v>
      </c>
      <c r="H66" s="0" t="s">
        <v>10</v>
      </c>
      <c r="I66" s="3" t="n">
        <v>15.7</v>
      </c>
    </row>
    <row r="67" customFormat="false" ht="15" hidden="false" customHeight="false" outlineLevel="0" collapsed="false">
      <c r="A67" s="0" t="n">
        <v>66</v>
      </c>
      <c r="B67" s="2" t="n">
        <v>45821.5138888889</v>
      </c>
      <c r="C67" s="0" t="s">
        <v>9</v>
      </c>
      <c r="D67" s="3" t="n">
        <v>19.2</v>
      </c>
      <c r="E67" s="3" t="n">
        <v>19.4</v>
      </c>
      <c r="F67" s="4" t="n">
        <v>68</v>
      </c>
      <c r="G67" s="4" t="n">
        <v>1013</v>
      </c>
      <c r="H67" s="0" t="s">
        <v>10</v>
      </c>
      <c r="I67" s="3" t="n">
        <v>13.4</v>
      </c>
    </row>
    <row r="68" customFormat="false" ht="15" hidden="false" customHeight="false" outlineLevel="0" collapsed="false">
      <c r="A68" s="0" t="n">
        <v>67</v>
      </c>
      <c r="B68" s="2" t="n">
        <v>45822.7916666667</v>
      </c>
      <c r="C68" s="0" t="s">
        <v>9</v>
      </c>
      <c r="D68" s="3" t="n">
        <v>25.1</v>
      </c>
      <c r="E68" s="3" t="n">
        <v>24.8</v>
      </c>
      <c r="F68" s="4" t="n">
        <v>76</v>
      </c>
      <c r="G68" s="4" t="n">
        <v>1015</v>
      </c>
      <c r="H68" s="0" t="s">
        <v>11</v>
      </c>
      <c r="I68" s="3" t="n">
        <v>20.6</v>
      </c>
    </row>
    <row r="69" customFormat="false" ht="15" hidden="false" customHeight="false" outlineLevel="0" collapsed="false">
      <c r="A69" s="0" t="n">
        <v>68</v>
      </c>
      <c r="B69" s="2" t="n">
        <v>45823.6944444445</v>
      </c>
      <c r="C69" s="0" t="s">
        <v>9</v>
      </c>
      <c r="D69" s="3" t="n">
        <v>21.2</v>
      </c>
      <c r="E69" s="3" t="n">
        <v>21.9</v>
      </c>
      <c r="F69" s="4" t="n">
        <v>62</v>
      </c>
      <c r="G69" s="4" t="n">
        <v>1008</v>
      </c>
      <c r="H69" s="0" t="s">
        <v>18</v>
      </c>
      <c r="I69" s="3" t="n">
        <v>21.8</v>
      </c>
    </row>
    <row r="70" customFormat="false" ht="15" hidden="false" customHeight="false" outlineLevel="0" collapsed="false">
      <c r="A70" s="0" t="n">
        <v>69</v>
      </c>
      <c r="B70" s="2" t="n">
        <v>45824.7013888889</v>
      </c>
      <c r="C70" s="0" t="s">
        <v>9</v>
      </c>
      <c r="D70" s="3" t="n">
        <v>19.7</v>
      </c>
      <c r="E70" s="3" t="n">
        <v>19</v>
      </c>
      <c r="F70" s="4" t="n">
        <v>64</v>
      </c>
      <c r="G70" s="4" t="n">
        <v>1013</v>
      </c>
      <c r="H70" s="0" t="s">
        <v>18</v>
      </c>
      <c r="I70" s="3" t="n">
        <v>23.2</v>
      </c>
    </row>
    <row r="71" customFormat="false" ht="15" hidden="false" customHeight="false" outlineLevel="0" collapsed="false">
      <c r="A71" s="0" t="n">
        <v>70</v>
      </c>
      <c r="B71" s="2" t="n">
        <v>45825.4097222222</v>
      </c>
      <c r="C71" s="0" t="s">
        <v>9</v>
      </c>
      <c r="D71" s="3" t="n">
        <v>18.2</v>
      </c>
      <c r="E71" s="3" t="n">
        <v>19.3</v>
      </c>
      <c r="F71" s="4" t="n">
        <v>52</v>
      </c>
      <c r="G71" s="4" t="n">
        <v>1019</v>
      </c>
      <c r="H71" s="0" t="s">
        <v>10</v>
      </c>
      <c r="I71" s="3" t="n">
        <v>18.1</v>
      </c>
    </row>
    <row r="72" customFormat="false" ht="15" hidden="false" customHeight="false" outlineLevel="0" collapsed="false">
      <c r="A72" s="0" t="n">
        <v>71</v>
      </c>
      <c r="B72" s="2" t="n">
        <v>45827.6527777778</v>
      </c>
      <c r="C72" s="0" t="s">
        <v>9</v>
      </c>
      <c r="D72" s="3" t="n">
        <v>22.8</v>
      </c>
      <c r="E72" s="3" t="n">
        <v>21.7</v>
      </c>
      <c r="F72" s="4" t="n">
        <v>62</v>
      </c>
      <c r="G72" s="4" t="n">
        <v>1014</v>
      </c>
      <c r="H72" s="0" t="s">
        <v>10</v>
      </c>
      <c r="I72" s="3" t="n">
        <v>19.5</v>
      </c>
    </row>
    <row r="73" customFormat="false" ht="15" hidden="false" customHeight="false" outlineLevel="0" collapsed="false">
      <c r="A73" s="0" t="n">
        <v>72</v>
      </c>
      <c r="B73" s="2" t="n">
        <v>45829.6597222222</v>
      </c>
      <c r="C73" s="0" t="s">
        <v>9</v>
      </c>
      <c r="D73" s="3" t="n">
        <v>21.7</v>
      </c>
      <c r="E73" s="3" t="n">
        <v>22.9</v>
      </c>
      <c r="F73" s="4" t="n">
        <v>49</v>
      </c>
      <c r="G73" s="4" t="n">
        <v>1020</v>
      </c>
      <c r="H73" s="0" t="s">
        <v>10</v>
      </c>
      <c r="I73" s="3" t="n">
        <v>18.2</v>
      </c>
    </row>
    <row r="74" customFormat="false" ht="15" hidden="false" customHeight="false" outlineLevel="0" collapsed="false">
      <c r="A74" s="0" t="n">
        <v>73</v>
      </c>
      <c r="B74" s="2" t="n">
        <v>45830.8055555556</v>
      </c>
      <c r="C74" s="0" t="s">
        <v>9</v>
      </c>
      <c r="D74" s="3" t="n">
        <v>24.8</v>
      </c>
      <c r="E74" s="3" t="n">
        <v>24.5</v>
      </c>
      <c r="F74" s="4" t="n">
        <v>57</v>
      </c>
      <c r="G74" s="4" t="n">
        <v>1010</v>
      </c>
      <c r="H74" s="0" t="s">
        <v>14</v>
      </c>
      <c r="I74" s="3" t="n">
        <v>15.6</v>
      </c>
    </row>
    <row r="75" customFormat="false" ht="15" hidden="false" customHeight="false" outlineLevel="0" collapsed="false">
      <c r="A75" s="0" t="n">
        <v>74</v>
      </c>
      <c r="B75" s="2" t="n">
        <v>45831.7847222222</v>
      </c>
      <c r="C75" s="0" t="s">
        <v>9</v>
      </c>
      <c r="D75" s="3" t="n">
        <v>26.2</v>
      </c>
      <c r="E75" s="3" t="n">
        <v>26</v>
      </c>
      <c r="F75" s="4" t="n">
        <v>45</v>
      </c>
      <c r="G75" s="4" t="n">
        <v>1024</v>
      </c>
      <c r="H75" s="0" t="s">
        <v>10</v>
      </c>
      <c r="I75" s="3" t="n">
        <v>22.3</v>
      </c>
    </row>
    <row r="76" customFormat="false" ht="15" hidden="false" customHeight="false" outlineLevel="0" collapsed="false">
      <c r="A76" s="0" t="n">
        <v>75</v>
      </c>
      <c r="B76" s="2" t="n">
        <v>45832.6527777778</v>
      </c>
      <c r="C76" s="0" t="s">
        <v>9</v>
      </c>
      <c r="D76" s="3" t="n">
        <v>22.4</v>
      </c>
      <c r="E76" s="3" t="n">
        <v>22.9</v>
      </c>
      <c r="F76" s="4" t="n">
        <v>39</v>
      </c>
      <c r="G76" s="4" t="n">
        <v>1014</v>
      </c>
      <c r="H76" s="0" t="s">
        <v>10</v>
      </c>
      <c r="I76" s="3" t="n">
        <v>20.9</v>
      </c>
    </row>
    <row r="77" customFormat="false" ht="15" hidden="false" customHeight="false" outlineLevel="0" collapsed="false">
      <c r="A77" s="0" t="n">
        <v>76</v>
      </c>
      <c r="B77" s="2" t="n">
        <v>45833.4236111111</v>
      </c>
      <c r="C77" s="0" t="s">
        <v>9</v>
      </c>
      <c r="D77" s="3" t="n">
        <v>19.6</v>
      </c>
      <c r="E77" s="3" t="n">
        <v>19.8</v>
      </c>
      <c r="F77" s="4" t="n">
        <v>78</v>
      </c>
      <c r="G77" s="4" t="n">
        <v>1016</v>
      </c>
      <c r="H77" s="0" t="s">
        <v>10</v>
      </c>
      <c r="I77" s="3" t="n">
        <v>13.9</v>
      </c>
    </row>
    <row r="78" customFormat="false" ht="15" hidden="false" customHeight="false" outlineLevel="0" collapsed="false">
      <c r="A78" s="0" t="n">
        <v>77</v>
      </c>
      <c r="B78" s="2" t="n">
        <v>45834.8263888889</v>
      </c>
      <c r="C78" s="0" t="s">
        <v>9</v>
      </c>
      <c r="D78" s="3" t="n">
        <v>24.5</v>
      </c>
      <c r="E78" s="3" t="n">
        <v>25.2</v>
      </c>
      <c r="F78" s="4" t="n">
        <v>65</v>
      </c>
      <c r="G78" s="4" t="n">
        <v>1015</v>
      </c>
      <c r="H78" s="0" t="s">
        <v>16</v>
      </c>
      <c r="I78" s="3" t="n">
        <v>14.5</v>
      </c>
    </row>
    <row r="79" customFormat="false" ht="15" hidden="false" customHeight="false" outlineLevel="0" collapsed="false">
      <c r="A79" s="0" t="n">
        <v>78</v>
      </c>
      <c r="B79" s="2" t="n">
        <v>45835.7847222222</v>
      </c>
      <c r="C79" s="0" t="s">
        <v>9</v>
      </c>
      <c r="D79" s="3" t="n">
        <v>21.2</v>
      </c>
      <c r="E79" s="3" t="n">
        <v>21.8</v>
      </c>
      <c r="F79" s="4" t="n">
        <v>92</v>
      </c>
      <c r="G79" s="4" t="n">
        <v>1009</v>
      </c>
      <c r="H79" s="0" t="s">
        <v>18</v>
      </c>
      <c r="I79" s="3" t="n">
        <v>26.1</v>
      </c>
    </row>
    <row r="80" customFormat="false" ht="15" hidden="false" customHeight="false" outlineLevel="0" collapsed="false">
      <c r="A80" s="0" t="n">
        <v>79</v>
      </c>
      <c r="B80" s="2" t="n">
        <v>45836.4861111111</v>
      </c>
      <c r="C80" s="0" t="s">
        <v>9</v>
      </c>
      <c r="D80" s="3" t="n">
        <v>18.6</v>
      </c>
      <c r="E80" s="3" t="n">
        <v>18.5</v>
      </c>
      <c r="F80" s="4" t="n">
        <v>63</v>
      </c>
      <c r="G80" s="4" t="n">
        <v>1002</v>
      </c>
      <c r="H80" s="0" t="s">
        <v>11</v>
      </c>
      <c r="I80" s="3" t="n">
        <v>21.2</v>
      </c>
    </row>
    <row r="81" customFormat="false" ht="15" hidden="false" customHeight="false" outlineLevel="0" collapsed="false">
      <c r="A81" s="0" t="n">
        <v>80</v>
      </c>
      <c r="B81" s="2" t="n">
        <v>45837.6458333333</v>
      </c>
      <c r="C81" s="0" t="s">
        <v>9</v>
      </c>
      <c r="D81" s="3" t="n">
        <v>21.4</v>
      </c>
      <c r="E81" s="3" t="n">
        <v>20.5</v>
      </c>
      <c r="F81" s="4" t="n">
        <v>59</v>
      </c>
      <c r="G81" s="4" t="n">
        <v>1014</v>
      </c>
      <c r="H81" s="0" t="s">
        <v>10</v>
      </c>
      <c r="I81" s="3" t="n">
        <v>16.4</v>
      </c>
    </row>
    <row r="82" customFormat="false" ht="15" hidden="false" customHeight="false" outlineLevel="0" collapsed="false">
      <c r="A82" s="0" t="n">
        <v>81</v>
      </c>
      <c r="B82" s="2" t="n">
        <v>45838.2638888889</v>
      </c>
      <c r="C82" s="0" t="s">
        <v>9</v>
      </c>
      <c r="D82" s="3" t="n">
        <v>19.8</v>
      </c>
      <c r="E82" s="3" t="n">
        <v>20.4</v>
      </c>
      <c r="F82" s="4" t="n">
        <v>79</v>
      </c>
      <c r="G82" s="4" t="n">
        <v>1005</v>
      </c>
      <c r="H82" s="0" t="s">
        <v>13</v>
      </c>
      <c r="I82" s="3" t="n">
        <v>18.2</v>
      </c>
    </row>
    <row r="83" customFormat="false" ht="15" hidden="false" customHeight="false" outlineLevel="0" collapsed="false">
      <c r="A83" s="0" t="n">
        <v>82</v>
      </c>
      <c r="B83" s="2" t="n">
        <v>45839.6319444445</v>
      </c>
      <c r="C83" s="0" t="s">
        <v>9</v>
      </c>
      <c r="D83" s="3" t="n">
        <v>19.4</v>
      </c>
      <c r="E83" s="3" t="n">
        <v>18.9</v>
      </c>
      <c r="F83" s="4" t="n">
        <v>52</v>
      </c>
      <c r="G83" s="4" t="n">
        <v>1015</v>
      </c>
      <c r="H83" s="0" t="s">
        <v>14</v>
      </c>
      <c r="I83" s="3" t="n">
        <v>15.4</v>
      </c>
    </row>
    <row r="84" customFormat="false" ht="15" hidden="false" customHeight="false" outlineLevel="0" collapsed="false">
      <c r="A84" s="0" t="n">
        <v>83</v>
      </c>
      <c r="B84" s="2" t="n">
        <v>45840.8194444445</v>
      </c>
      <c r="C84" s="0" t="s">
        <v>9</v>
      </c>
      <c r="D84" s="3" t="n">
        <v>25</v>
      </c>
      <c r="E84" s="3" t="n">
        <v>26</v>
      </c>
      <c r="F84" s="4" t="n">
        <v>59</v>
      </c>
      <c r="G84" s="4" t="n">
        <v>1014</v>
      </c>
      <c r="H84" s="0" t="s">
        <v>12</v>
      </c>
      <c r="I84" s="3" t="n">
        <v>12.4</v>
      </c>
    </row>
    <row r="85" customFormat="false" ht="15" hidden="false" customHeight="false" outlineLevel="0" collapsed="false">
      <c r="A85" s="0" t="n">
        <v>84</v>
      </c>
      <c r="B85" s="2" t="n">
        <v>45841.6875</v>
      </c>
      <c r="C85" s="0" t="s">
        <v>9</v>
      </c>
      <c r="D85" s="3" t="n">
        <v>22.2</v>
      </c>
      <c r="E85" s="3" t="n">
        <v>22.2</v>
      </c>
      <c r="F85" s="4" t="n">
        <v>54</v>
      </c>
      <c r="G85" s="4" t="n">
        <v>1013</v>
      </c>
      <c r="H85" s="0" t="s">
        <v>12</v>
      </c>
      <c r="I85" s="3" t="n">
        <v>12.5</v>
      </c>
    </row>
    <row r="86" customFormat="false" ht="15" hidden="false" customHeight="false" outlineLevel="0" collapsed="false">
      <c r="A86" s="0" t="n">
        <v>85</v>
      </c>
      <c r="B86" s="2" t="n">
        <v>45842.8541666667</v>
      </c>
      <c r="C86" s="0" t="s">
        <v>9</v>
      </c>
      <c r="D86" s="3" t="n">
        <v>22.2</v>
      </c>
      <c r="E86" s="3" t="n">
        <v>21.1</v>
      </c>
      <c r="F86" s="4" t="n">
        <v>87</v>
      </c>
      <c r="G86" s="4" t="n">
        <v>1012</v>
      </c>
      <c r="H86" s="0" t="s">
        <v>13</v>
      </c>
      <c r="I86" s="3" t="n">
        <v>21.5</v>
      </c>
    </row>
    <row r="87" customFormat="false" ht="15" hidden="false" customHeight="false" outlineLevel="0" collapsed="false">
      <c r="A87" s="0" t="n">
        <v>86</v>
      </c>
      <c r="B87" s="2" t="n">
        <v>45843.5277777778</v>
      </c>
      <c r="C87" s="0" t="s">
        <v>9</v>
      </c>
      <c r="D87" s="3" t="n">
        <v>22.1</v>
      </c>
      <c r="E87" s="3" t="n">
        <v>22.2</v>
      </c>
      <c r="F87" s="4" t="n">
        <v>84</v>
      </c>
      <c r="G87" s="4" t="n">
        <v>1005</v>
      </c>
      <c r="H87" s="0" t="s">
        <v>11</v>
      </c>
      <c r="I87" s="3" t="n">
        <v>35.3</v>
      </c>
    </row>
    <row r="88" customFormat="false" ht="15" hidden="false" customHeight="false" outlineLevel="0" collapsed="false">
      <c r="A88" s="0" t="n">
        <v>87</v>
      </c>
      <c r="B88" s="2" t="n">
        <v>45844.9097222222</v>
      </c>
      <c r="C88" s="0" t="s">
        <v>9</v>
      </c>
      <c r="D88" s="3" t="n">
        <v>23.7</v>
      </c>
      <c r="E88" s="3" t="n">
        <v>24</v>
      </c>
      <c r="F88" s="4" t="n">
        <v>66</v>
      </c>
      <c r="G88" s="4" t="n">
        <v>1021</v>
      </c>
      <c r="H88" s="0" t="s">
        <v>12</v>
      </c>
      <c r="I88" s="3" t="n">
        <v>24.8</v>
      </c>
    </row>
    <row r="89" customFormat="false" ht="15" hidden="false" customHeight="false" outlineLevel="0" collapsed="false">
      <c r="A89" s="0" t="n">
        <v>88</v>
      </c>
      <c r="B89" s="2" t="n">
        <v>45845.4930555556</v>
      </c>
      <c r="C89" s="0" t="s">
        <v>9</v>
      </c>
      <c r="D89" s="3" t="n">
        <v>19</v>
      </c>
      <c r="E89" s="3" t="n">
        <v>19.4</v>
      </c>
      <c r="F89" s="4" t="n">
        <v>57</v>
      </c>
      <c r="G89" s="4" t="n">
        <v>1015</v>
      </c>
      <c r="H89" s="0" t="s">
        <v>16</v>
      </c>
      <c r="I89" s="3" t="n">
        <v>12.9</v>
      </c>
    </row>
    <row r="90" customFormat="false" ht="15" hidden="false" customHeight="false" outlineLevel="0" collapsed="false">
      <c r="A90" s="0" t="n">
        <v>89</v>
      </c>
      <c r="B90" s="2" t="n">
        <v>45846.3472222222</v>
      </c>
      <c r="C90" s="0" t="s">
        <v>9</v>
      </c>
      <c r="D90" s="3" t="n">
        <v>21</v>
      </c>
      <c r="E90" s="3" t="n">
        <v>20.4</v>
      </c>
      <c r="F90" s="4" t="n">
        <v>64</v>
      </c>
      <c r="G90" s="4" t="n">
        <v>1014</v>
      </c>
      <c r="H90" s="0" t="s">
        <v>10</v>
      </c>
      <c r="I90" s="3" t="n">
        <v>12.2</v>
      </c>
    </row>
    <row r="91" customFormat="false" ht="15" hidden="false" customHeight="false" outlineLevel="0" collapsed="false">
      <c r="A91" s="0" t="n">
        <v>90</v>
      </c>
      <c r="B91" s="2" t="n">
        <v>45847.6666666667</v>
      </c>
      <c r="C91" s="0" t="s">
        <v>9</v>
      </c>
      <c r="D91" s="3" t="n">
        <v>23.7</v>
      </c>
      <c r="E91" s="3" t="n">
        <v>24.1</v>
      </c>
      <c r="F91" s="4" t="n">
        <v>45</v>
      </c>
      <c r="G91" s="4" t="n">
        <v>1008</v>
      </c>
      <c r="H91" s="0" t="s">
        <v>10</v>
      </c>
      <c r="I91" s="3" t="n">
        <v>18</v>
      </c>
    </row>
    <row r="92" customFormat="false" ht="15" hidden="false" customHeight="false" outlineLevel="0" collapsed="false">
      <c r="A92" s="0" t="n">
        <v>91</v>
      </c>
      <c r="B92" s="2" t="n">
        <v>45848.5763888889</v>
      </c>
      <c r="C92" s="0" t="s">
        <v>9</v>
      </c>
      <c r="D92" s="3" t="n">
        <v>24.1</v>
      </c>
      <c r="E92" s="3" t="n">
        <v>23.3</v>
      </c>
      <c r="F92" s="4" t="n">
        <v>54</v>
      </c>
      <c r="G92" s="4" t="n">
        <v>1007</v>
      </c>
      <c r="H92" s="0" t="s">
        <v>10</v>
      </c>
      <c r="I92" s="3" t="n">
        <v>17.6</v>
      </c>
    </row>
    <row r="93" customFormat="false" ht="15" hidden="false" customHeight="false" outlineLevel="0" collapsed="false">
      <c r="A93" s="0" t="n">
        <v>92</v>
      </c>
      <c r="B93" s="2" t="n">
        <v>45849.6319444445</v>
      </c>
      <c r="C93" s="0" t="s">
        <v>9</v>
      </c>
      <c r="D93" s="3" t="n">
        <v>22.9</v>
      </c>
      <c r="E93" s="3" t="n">
        <v>23.4</v>
      </c>
      <c r="F93" s="4" t="n">
        <v>76</v>
      </c>
      <c r="G93" s="4" t="n">
        <v>1009</v>
      </c>
      <c r="H93" s="0" t="s">
        <v>16</v>
      </c>
      <c r="I93" s="3" t="n">
        <v>15.2</v>
      </c>
    </row>
    <row r="94" customFormat="false" ht="15" hidden="false" customHeight="false" outlineLevel="0" collapsed="false">
      <c r="A94" s="0" t="n">
        <v>93</v>
      </c>
      <c r="B94" s="2" t="n">
        <v>45850.5069444445</v>
      </c>
      <c r="C94" s="0" t="s">
        <v>9</v>
      </c>
      <c r="D94" s="3" t="n">
        <v>20</v>
      </c>
      <c r="E94" s="3" t="n">
        <v>19</v>
      </c>
      <c r="F94" s="4" t="n">
        <v>53</v>
      </c>
      <c r="G94" s="4" t="n">
        <v>1004</v>
      </c>
      <c r="H94" s="0" t="s">
        <v>11</v>
      </c>
      <c r="I94" s="3" t="n">
        <v>18.9</v>
      </c>
    </row>
    <row r="95" customFormat="false" ht="15" hidden="false" customHeight="false" outlineLevel="0" collapsed="false">
      <c r="A95" s="0" t="n">
        <v>94</v>
      </c>
      <c r="B95" s="2" t="n">
        <v>45851.25</v>
      </c>
      <c r="C95" s="0" t="s">
        <v>9</v>
      </c>
      <c r="D95" s="3" t="n">
        <v>24.2</v>
      </c>
      <c r="E95" s="3" t="n">
        <v>23.1</v>
      </c>
      <c r="F95" s="4" t="n">
        <v>55</v>
      </c>
      <c r="G95" s="4" t="n">
        <v>1004</v>
      </c>
      <c r="H95" s="0" t="s">
        <v>10</v>
      </c>
      <c r="I95" s="3" t="n">
        <v>25</v>
      </c>
    </row>
    <row r="96" customFormat="false" ht="15" hidden="false" customHeight="false" outlineLevel="0" collapsed="false">
      <c r="A96" s="0" t="n">
        <v>95</v>
      </c>
      <c r="B96" s="2" t="n">
        <v>45852.5625</v>
      </c>
      <c r="C96" s="0" t="s">
        <v>9</v>
      </c>
      <c r="D96" s="3" t="n">
        <v>22.4</v>
      </c>
      <c r="E96" s="3" t="n">
        <v>22.1</v>
      </c>
      <c r="F96" s="4" t="n">
        <v>63</v>
      </c>
      <c r="G96" s="4" t="n">
        <v>1005</v>
      </c>
      <c r="H96" s="0" t="s">
        <v>15</v>
      </c>
      <c r="I96" s="3" t="n">
        <v>24</v>
      </c>
    </row>
    <row r="97" customFormat="false" ht="15" hidden="false" customHeight="false" outlineLevel="0" collapsed="false">
      <c r="A97" s="0" t="n">
        <v>96</v>
      </c>
      <c r="B97" s="2" t="n">
        <v>45853.3541666667</v>
      </c>
      <c r="C97" s="0" t="s">
        <v>9</v>
      </c>
      <c r="D97" s="3" t="n">
        <v>19.6</v>
      </c>
      <c r="E97" s="3" t="n">
        <v>20.3</v>
      </c>
      <c r="F97" s="4" t="n">
        <v>71</v>
      </c>
      <c r="G97" s="4" t="n">
        <v>1017</v>
      </c>
      <c r="H97" s="0" t="s">
        <v>10</v>
      </c>
      <c r="I97" s="3" t="n">
        <v>15</v>
      </c>
    </row>
    <row r="98" customFormat="false" ht="15" hidden="false" customHeight="false" outlineLevel="0" collapsed="false">
      <c r="A98" s="0" t="n">
        <v>97</v>
      </c>
      <c r="B98" s="2" t="n">
        <v>45854.8263888889</v>
      </c>
      <c r="C98" s="0" t="s">
        <v>9</v>
      </c>
      <c r="D98" s="3" t="n">
        <v>24.2</v>
      </c>
      <c r="E98" s="3" t="n">
        <v>25.4</v>
      </c>
      <c r="F98" s="4" t="n">
        <v>54</v>
      </c>
      <c r="G98" s="4" t="n">
        <v>1012</v>
      </c>
      <c r="H98" s="0" t="s">
        <v>10</v>
      </c>
      <c r="I98" s="3" t="n">
        <v>16.5</v>
      </c>
    </row>
    <row r="99" customFormat="false" ht="15" hidden="false" customHeight="false" outlineLevel="0" collapsed="false">
      <c r="A99" s="0" t="n">
        <v>98</v>
      </c>
      <c r="B99" s="2" t="n">
        <v>45855.5347222222</v>
      </c>
      <c r="C99" s="0" t="s">
        <v>9</v>
      </c>
      <c r="D99" s="3" t="n">
        <v>21.1</v>
      </c>
      <c r="E99" s="3" t="n">
        <v>21.7</v>
      </c>
      <c r="F99" s="4" t="n">
        <v>56</v>
      </c>
      <c r="G99" s="4" t="n">
        <v>1010</v>
      </c>
      <c r="H99" s="0" t="s">
        <v>12</v>
      </c>
      <c r="I99" s="3" t="n">
        <v>14.8</v>
      </c>
    </row>
    <row r="100" customFormat="false" ht="15" hidden="false" customHeight="false" outlineLevel="0" collapsed="false">
      <c r="A100" s="0" t="n">
        <v>99</v>
      </c>
      <c r="B100" s="2" t="n">
        <v>45856.7708333333</v>
      </c>
      <c r="C100" s="0" t="s">
        <v>9</v>
      </c>
      <c r="D100" s="3" t="n">
        <v>23.8</v>
      </c>
      <c r="E100" s="3" t="n">
        <v>22.9</v>
      </c>
      <c r="F100" s="4" t="n">
        <v>47</v>
      </c>
      <c r="G100" s="4" t="n">
        <v>1016</v>
      </c>
      <c r="H100" s="0" t="s">
        <v>10</v>
      </c>
      <c r="I100" s="3" t="n">
        <v>17.4</v>
      </c>
    </row>
    <row r="101" customFormat="false" ht="15" hidden="false" customHeight="false" outlineLevel="0" collapsed="false">
      <c r="A101" s="0" t="n">
        <v>100</v>
      </c>
      <c r="B101" s="2" t="n">
        <v>45857.7569444445</v>
      </c>
      <c r="C101" s="0" t="s">
        <v>9</v>
      </c>
      <c r="D101" s="3" t="n">
        <v>28.2</v>
      </c>
      <c r="E101" s="3" t="n">
        <v>29.4</v>
      </c>
      <c r="F101" s="4" t="n">
        <v>55</v>
      </c>
      <c r="G101" s="4" t="n">
        <v>1013</v>
      </c>
      <c r="H101" s="0" t="s">
        <v>10</v>
      </c>
      <c r="I101" s="3" t="n">
        <v>14.8</v>
      </c>
    </row>
    <row r="102" customFormat="false" ht="15" hidden="false" customHeight="false" outlineLevel="0" collapsed="false">
      <c r="A102" s="0" t="n">
        <v>101</v>
      </c>
      <c r="B102" s="2" t="n">
        <v>45858.4513888889</v>
      </c>
      <c r="C102" s="0" t="s">
        <v>9</v>
      </c>
      <c r="D102" s="3" t="n">
        <v>23.1</v>
      </c>
      <c r="E102" s="3" t="n">
        <v>22.5</v>
      </c>
      <c r="F102" s="4" t="n">
        <v>54</v>
      </c>
      <c r="G102" s="4" t="n">
        <v>1019</v>
      </c>
      <c r="H102" s="0" t="s">
        <v>10</v>
      </c>
      <c r="I102" s="3" t="n">
        <v>18</v>
      </c>
    </row>
    <row r="103" customFormat="false" ht="15" hidden="false" customHeight="false" outlineLevel="0" collapsed="false">
      <c r="A103" s="0" t="n">
        <v>102</v>
      </c>
      <c r="B103" s="2" t="n">
        <v>45860.25</v>
      </c>
      <c r="C103" s="0" t="s">
        <v>9</v>
      </c>
      <c r="D103" s="3" t="n">
        <v>24</v>
      </c>
      <c r="E103" s="3" t="n">
        <v>25</v>
      </c>
      <c r="F103" s="4" t="n">
        <v>45</v>
      </c>
      <c r="G103" s="4" t="n">
        <v>1012</v>
      </c>
      <c r="H103" s="0" t="s">
        <v>14</v>
      </c>
      <c r="I103" s="3" t="n">
        <v>18</v>
      </c>
    </row>
    <row r="104" customFormat="false" ht="15" hidden="false" customHeight="false" outlineLevel="0" collapsed="false">
      <c r="A104" s="0" t="n">
        <v>103</v>
      </c>
      <c r="B104" s="2" t="n">
        <v>45861.7986111111</v>
      </c>
      <c r="C104" s="0" t="s">
        <v>9</v>
      </c>
      <c r="D104" s="3" t="n">
        <v>22.9</v>
      </c>
      <c r="E104" s="3" t="n">
        <v>22.9</v>
      </c>
      <c r="F104" s="4" t="n">
        <v>56</v>
      </c>
      <c r="G104" s="4" t="n">
        <v>1017</v>
      </c>
      <c r="H104" s="0" t="s">
        <v>10</v>
      </c>
      <c r="I104" s="3" t="n">
        <v>14.5</v>
      </c>
    </row>
    <row r="105" customFormat="false" ht="15" hidden="false" customHeight="false" outlineLevel="0" collapsed="false">
      <c r="A105" s="0" t="n">
        <v>104</v>
      </c>
      <c r="B105" s="2" t="n">
        <v>45862.4930555556</v>
      </c>
      <c r="C105" s="0" t="s">
        <v>9</v>
      </c>
      <c r="D105" s="3" t="n">
        <v>22.6</v>
      </c>
      <c r="E105" s="3" t="n">
        <v>22.7</v>
      </c>
      <c r="F105" s="4" t="n">
        <v>53</v>
      </c>
      <c r="G105" s="4" t="n">
        <v>1011</v>
      </c>
      <c r="H105" s="0" t="s">
        <v>10</v>
      </c>
      <c r="I105" s="3" t="n">
        <v>18.9</v>
      </c>
    </row>
    <row r="106" customFormat="false" ht="15" hidden="false" customHeight="false" outlineLevel="0" collapsed="false">
      <c r="A106" s="0" t="n">
        <v>105</v>
      </c>
      <c r="B106" s="2" t="n">
        <v>45863.8333333333</v>
      </c>
      <c r="C106" s="0" t="s">
        <v>9</v>
      </c>
      <c r="D106" s="3" t="n">
        <v>25.3</v>
      </c>
      <c r="E106" s="3" t="n">
        <v>24.6</v>
      </c>
      <c r="F106" s="4" t="n">
        <v>70</v>
      </c>
      <c r="G106" s="4" t="n">
        <v>1007</v>
      </c>
      <c r="H106" s="0" t="s">
        <v>16</v>
      </c>
      <c r="I106" s="3" t="n">
        <v>16.4</v>
      </c>
    </row>
    <row r="107" customFormat="false" ht="15" hidden="false" customHeight="false" outlineLevel="0" collapsed="false">
      <c r="A107" s="0" t="n">
        <v>106</v>
      </c>
      <c r="B107" s="2" t="n">
        <v>45864.5416666667</v>
      </c>
      <c r="C107" s="0" t="s">
        <v>9</v>
      </c>
      <c r="D107" s="3" t="n">
        <v>21.7</v>
      </c>
      <c r="E107" s="3" t="n">
        <v>22.1</v>
      </c>
      <c r="F107" s="4" t="n">
        <v>64</v>
      </c>
      <c r="G107" s="4" t="n">
        <v>1008</v>
      </c>
      <c r="H107" s="0" t="s">
        <v>11</v>
      </c>
      <c r="I107" s="3" t="n">
        <v>26.9</v>
      </c>
    </row>
    <row r="108" customFormat="false" ht="15" hidden="false" customHeight="false" outlineLevel="0" collapsed="false">
      <c r="A108" s="0" t="n">
        <v>107</v>
      </c>
      <c r="B108" s="2" t="n">
        <v>45865.8402777778</v>
      </c>
      <c r="C108" s="0" t="s">
        <v>9</v>
      </c>
      <c r="D108" s="3" t="n">
        <v>28.7</v>
      </c>
      <c r="E108" s="3" t="n">
        <v>28.9</v>
      </c>
      <c r="F108" s="4" t="n">
        <v>41</v>
      </c>
      <c r="G108" s="4" t="n">
        <v>1011</v>
      </c>
      <c r="H108" s="0" t="s">
        <v>14</v>
      </c>
      <c r="I108" s="3" t="n">
        <v>12.7</v>
      </c>
    </row>
    <row r="109" customFormat="false" ht="15" hidden="false" customHeight="false" outlineLevel="0" collapsed="false">
      <c r="A109" s="0" t="n">
        <v>108</v>
      </c>
      <c r="B109" s="2" t="n">
        <v>45866.8680555556</v>
      </c>
      <c r="C109" s="0" t="s">
        <v>9</v>
      </c>
      <c r="D109" s="3" t="n">
        <v>29</v>
      </c>
      <c r="E109" s="3" t="n">
        <v>29.5</v>
      </c>
      <c r="F109" s="4" t="n">
        <v>50</v>
      </c>
      <c r="G109" s="4" t="n">
        <v>1007</v>
      </c>
      <c r="H109" s="0" t="s">
        <v>17</v>
      </c>
      <c r="I109" s="3" t="n">
        <v>17.4</v>
      </c>
    </row>
    <row r="110" customFormat="false" ht="15" hidden="false" customHeight="false" outlineLevel="0" collapsed="false">
      <c r="A110" s="0" t="n">
        <v>109</v>
      </c>
      <c r="B110" s="2" t="n">
        <v>45868.6875</v>
      </c>
      <c r="C110" s="0" t="s">
        <v>9</v>
      </c>
      <c r="D110" s="3" t="n">
        <v>23.3</v>
      </c>
      <c r="E110" s="3" t="n">
        <v>23.7</v>
      </c>
      <c r="F110" s="4" t="n">
        <v>64</v>
      </c>
      <c r="G110" s="4" t="n">
        <v>1016</v>
      </c>
      <c r="H110" s="0" t="s">
        <v>10</v>
      </c>
      <c r="I110" s="3" t="n">
        <v>15.9</v>
      </c>
    </row>
    <row r="111" customFormat="false" ht="15" hidden="false" customHeight="false" outlineLevel="0" collapsed="false">
      <c r="A111" s="0" t="n">
        <v>110</v>
      </c>
      <c r="B111" s="2" t="n">
        <v>45869.8194444445</v>
      </c>
      <c r="C111" s="0" t="s">
        <v>9</v>
      </c>
      <c r="D111" s="3" t="n">
        <v>28.6</v>
      </c>
      <c r="E111" s="3" t="n">
        <v>29.2</v>
      </c>
      <c r="F111" s="4" t="n">
        <v>49</v>
      </c>
      <c r="G111" s="4" t="n">
        <v>1014</v>
      </c>
      <c r="H111" s="0" t="s">
        <v>12</v>
      </c>
      <c r="I111" s="3" t="n">
        <v>15.1</v>
      </c>
    </row>
    <row r="112" customFormat="false" ht="15" hidden="false" customHeight="false" outlineLevel="0" collapsed="false">
      <c r="A112" s="0" t="n">
        <v>111</v>
      </c>
      <c r="B112" s="2" t="n">
        <v>45870.8402777778</v>
      </c>
      <c r="C112" s="0" t="s">
        <v>9</v>
      </c>
      <c r="D112" s="3" t="n">
        <v>27</v>
      </c>
      <c r="E112" s="3" t="n">
        <v>27.6</v>
      </c>
      <c r="F112" s="4" t="n">
        <v>38</v>
      </c>
      <c r="G112" s="4" t="n">
        <v>1016</v>
      </c>
      <c r="H112" s="0" t="s">
        <v>10</v>
      </c>
      <c r="I112" s="3" t="n">
        <v>12.1</v>
      </c>
    </row>
    <row r="113" customFormat="false" ht="15" hidden="false" customHeight="false" outlineLevel="0" collapsed="false">
      <c r="A113" s="0" t="n">
        <v>112</v>
      </c>
      <c r="B113" s="2" t="n">
        <v>45871.8958333333</v>
      </c>
      <c r="C113" s="0" t="s">
        <v>9</v>
      </c>
      <c r="D113" s="3" t="n">
        <v>26</v>
      </c>
      <c r="E113" s="3" t="n">
        <v>26.5</v>
      </c>
      <c r="F113" s="4" t="n">
        <v>63</v>
      </c>
      <c r="G113" s="4" t="n">
        <v>1006</v>
      </c>
      <c r="H113" s="0" t="s">
        <v>17</v>
      </c>
      <c r="I113" s="3" t="n">
        <v>23.5</v>
      </c>
    </row>
    <row r="114" customFormat="false" ht="15" hidden="false" customHeight="false" outlineLevel="0" collapsed="false">
      <c r="A114" s="0" t="n">
        <v>113</v>
      </c>
      <c r="B114" s="2" t="n">
        <v>45872.5902777778</v>
      </c>
      <c r="C114" s="0" t="s">
        <v>9</v>
      </c>
      <c r="D114" s="3" t="n">
        <v>24.7</v>
      </c>
      <c r="E114" s="3" t="n">
        <v>23.8</v>
      </c>
      <c r="F114" s="4" t="n">
        <v>62</v>
      </c>
      <c r="G114" s="4" t="n">
        <v>1012</v>
      </c>
      <c r="H114" s="0" t="s">
        <v>14</v>
      </c>
      <c r="I114" s="3" t="n">
        <v>15.6</v>
      </c>
    </row>
    <row r="115" customFormat="false" ht="15" hidden="false" customHeight="false" outlineLevel="0" collapsed="false">
      <c r="A115" s="0" t="n">
        <v>114</v>
      </c>
      <c r="B115" s="2" t="n">
        <v>45873.6111111111</v>
      </c>
      <c r="C115" s="0" t="s">
        <v>9</v>
      </c>
      <c r="D115" s="3" t="n">
        <v>21</v>
      </c>
      <c r="E115" s="3" t="n">
        <v>20.1</v>
      </c>
      <c r="F115" s="4" t="n">
        <v>69</v>
      </c>
      <c r="G115" s="4" t="n">
        <v>1010</v>
      </c>
      <c r="H115" s="0" t="s">
        <v>15</v>
      </c>
      <c r="I115" s="3" t="n">
        <v>14.8</v>
      </c>
    </row>
    <row r="116" customFormat="false" ht="15" hidden="false" customHeight="false" outlineLevel="0" collapsed="false">
      <c r="A116" s="0" t="n">
        <v>115</v>
      </c>
      <c r="B116" s="2" t="n">
        <v>45874.9097222222</v>
      </c>
      <c r="C116" s="0" t="s">
        <v>9</v>
      </c>
      <c r="D116" s="3" t="n">
        <v>25.5</v>
      </c>
      <c r="E116" s="3" t="n">
        <v>24.7</v>
      </c>
      <c r="F116" s="4" t="n">
        <v>55</v>
      </c>
      <c r="G116" s="4" t="n">
        <v>1013</v>
      </c>
      <c r="H116" s="0" t="s">
        <v>10</v>
      </c>
      <c r="I116" s="3" t="n">
        <v>12.9</v>
      </c>
    </row>
    <row r="117" customFormat="false" ht="15" hidden="false" customHeight="false" outlineLevel="0" collapsed="false">
      <c r="A117" s="0" t="n">
        <v>116</v>
      </c>
      <c r="B117" s="2" t="n">
        <v>45875.5555555556</v>
      </c>
      <c r="C117" s="0" t="s">
        <v>9</v>
      </c>
      <c r="D117" s="3" t="n">
        <v>22.2</v>
      </c>
      <c r="E117" s="3" t="n">
        <v>21.6</v>
      </c>
      <c r="F117" s="4" t="n">
        <v>66</v>
      </c>
      <c r="G117" s="4" t="n">
        <v>1006</v>
      </c>
      <c r="H117" s="0" t="s">
        <v>17</v>
      </c>
      <c r="I117" s="3" t="n">
        <v>19.4</v>
      </c>
    </row>
    <row r="118" customFormat="false" ht="15" hidden="false" customHeight="false" outlineLevel="0" collapsed="false">
      <c r="A118" s="0" t="n">
        <v>117</v>
      </c>
      <c r="B118" s="2" t="n">
        <v>45876.8333333333</v>
      </c>
      <c r="C118" s="0" t="s">
        <v>9</v>
      </c>
      <c r="D118" s="3" t="n">
        <v>27</v>
      </c>
      <c r="E118" s="3" t="n">
        <v>28.1</v>
      </c>
      <c r="F118" s="4" t="n">
        <v>64</v>
      </c>
      <c r="G118" s="4" t="n">
        <v>1004</v>
      </c>
      <c r="H118" s="0" t="s">
        <v>15</v>
      </c>
      <c r="I118" s="3" t="n">
        <v>18.2</v>
      </c>
    </row>
    <row r="119" customFormat="false" ht="15" hidden="false" customHeight="false" outlineLevel="0" collapsed="false">
      <c r="A119" s="0" t="n">
        <v>118</v>
      </c>
      <c r="B119" s="2" t="n">
        <v>45877.6319444445</v>
      </c>
      <c r="C119" s="0" t="s">
        <v>9</v>
      </c>
      <c r="D119" s="3" t="n">
        <v>24.3</v>
      </c>
      <c r="E119" s="3" t="n">
        <v>23.2</v>
      </c>
      <c r="F119" s="4" t="n">
        <v>57</v>
      </c>
      <c r="G119" s="4" t="n">
        <v>1006</v>
      </c>
      <c r="H119" s="0" t="s">
        <v>14</v>
      </c>
      <c r="I119" s="3" t="n">
        <v>19.7</v>
      </c>
    </row>
    <row r="120" customFormat="false" ht="15" hidden="false" customHeight="false" outlineLevel="0" collapsed="false">
      <c r="A120" s="0" t="n">
        <v>119</v>
      </c>
      <c r="B120" s="2" t="n">
        <v>45878.5972222222</v>
      </c>
      <c r="C120" s="0" t="s">
        <v>9</v>
      </c>
      <c r="D120" s="3" t="n">
        <v>22.8</v>
      </c>
      <c r="E120" s="3" t="n">
        <v>23.1</v>
      </c>
      <c r="F120" s="4" t="n">
        <v>51</v>
      </c>
      <c r="G120" s="4" t="n">
        <v>1015</v>
      </c>
      <c r="H120" s="0" t="s">
        <v>10</v>
      </c>
      <c r="I120" s="3" t="n">
        <v>13.7</v>
      </c>
    </row>
    <row r="121" customFormat="false" ht="15" hidden="false" customHeight="false" outlineLevel="0" collapsed="false">
      <c r="A121" s="0" t="n">
        <v>120</v>
      </c>
      <c r="B121" s="2" t="n">
        <v>45879.6944444445</v>
      </c>
      <c r="C121" s="0" t="s">
        <v>9</v>
      </c>
      <c r="D121" s="3" t="n">
        <v>23.8</v>
      </c>
      <c r="E121" s="3" t="n">
        <v>24.2</v>
      </c>
      <c r="F121" s="4" t="n">
        <v>48</v>
      </c>
      <c r="G121" s="4" t="n">
        <v>1013</v>
      </c>
      <c r="H121" s="0" t="s">
        <v>10</v>
      </c>
      <c r="I121" s="3" t="n">
        <v>19.7</v>
      </c>
    </row>
    <row r="122" customFormat="false" ht="15" hidden="false" customHeight="false" outlineLevel="0" collapsed="false">
      <c r="A122" s="0" t="n">
        <v>121</v>
      </c>
      <c r="B122" s="2" t="n">
        <v>45880.3402777778</v>
      </c>
      <c r="C122" s="0" t="s">
        <v>9</v>
      </c>
      <c r="D122" s="3" t="n">
        <v>20.5</v>
      </c>
      <c r="E122" s="3" t="n">
        <v>20.6</v>
      </c>
      <c r="F122" s="4" t="n">
        <v>80</v>
      </c>
      <c r="G122" s="4" t="n">
        <v>1001</v>
      </c>
      <c r="H122" s="0" t="s">
        <v>11</v>
      </c>
      <c r="I122" s="3" t="n">
        <v>23.7</v>
      </c>
    </row>
    <row r="123" customFormat="false" ht="15" hidden="false" customHeight="false" outlineLevel="0" collapsed="false">
      <c r="A123" s="0" t="n">
        <v>122</v>
      </c>
      <c r="B123" s="2" t="n">
        <v>45881.4236111111</v>
      </c>
      <c r="C123" s="0" t="s">
        <v>9</v>
      </c>
      <c r="D123" s="3" t="n">
        <v>24.2</v>
      </c>
      <c r="E123" s="3" t="n">
        <v>25</v>
      </c>
      <c r="F123" s="4" t="n">
        <v>63</v>
      </c>
      <c r="G123" s="4" t="n">
        <v>1018</v>
      </c>
      <c r="H123" s="0" t="s">
        <v>12</v>
      </c>
      <c r="I123" s="3" t="n">
        <v>16.6</v>
      </c>
    </row>
    <row r="124" customFormat="false" ht="15" hidden="false" customHeight="false" outlineLevel="0" collapsed="false">
      <c r="A124" s="0" t="n">
        <v>123</v>
      </c>
      <c r="B124" s="2" t="n">
        <v>45882.7847222222</v>
      </c>
      <c r="C124" s="0" t="s">
        <v>9</v>
      </c>
      <c r="D124" s="3" t="n">
        <v>22.5</v>
      </c>
      <c r="E124" s="3" t="n">
        <v>23.1</v>
      </c>
      <c r="F124" s="4" t="n">
        <v>68</v>
      </c>
      <c r="G124" s="4" t="n">
        <v>1007</v>
      </c>
      <c r="H124" s="0" t="s">
        <v>13</v>
      </c>
      <c r="I124" s="3" t="n">
        <v>16.7</v>
      </c>
    </row>
    <row r="125" customFormat="false" ht="15" hidden="false" customHeight="false" outlineLevel="0" collapsed="false">
      <c r="A125" s="0" t="n">
        <v>124</v>
      </c>
      <c r="B125" s="2" t="n">
        <v>45883.4513888889</v>
      </c>
      <c r="C125" s="0" t="s">
        <v>9</v>
      </c>
      <c r="D125" s="3" t="n">
        <v>26.6</v>
      </c>
      <c r="E125" s="3" t="n">
        <v>26.5</v>
      </c>
      <c r="F125" s="4" t="n">
        <v>59</v>
      </c>
      <c r="G125" s="4" t="n">
        <v>1014</v>
      </c>
      <c r="H125" s="0" t="s">
        <v>10</v>
      </c>
      <c r="I125" s="3" t="n">
        <v>16.1</v>
      </c>
    </row>
    <row r="126" customFormat="false" ht="15" hidden="false" customHeight="false" outlineLevel="0" collapsed="false">
      <c r="A126" s="0" t="n">
        <v>125</v>
      </c>
      <c r="B126" s="2" t="n">
        <v>45884.5</v>
      </c>
      <c r="C126" s="0" t="s">
        <v>9</v>
      </c>
      <c r="D126" s="3" t="n">
        <v>22</v>
      </c>
      <c r="E126" s="3" t="n">
        <v>21</v>
      </c>
      <c r="F126" s="4" t="n">
        <v>53</v>
      </c>
      <c r="G126" s="4" t="n">
        <v>1005</v>
      </c>
      <c r="H126" s="0" t="s">
        <v>14</v>
      </c>
      <c r="I126" s="3" t="n">
        <v>22.4</v>
      </c>
    </row>
    <row r="127" customFormat="false" ht="15" hidden="false" customHeight="false" outlineLevel="0" collapsed="false">
      <c r="A127" s="0" t="n">
        <v>126</v>
      </c>
      <c r="B127" s="2" t="n">
        <v>45885.8125</v>
      </c>
      <c r="C127" s="0" t="s">
        <v>9</v>
      </c>
      <c r="D127" s="3" t="n">
        <v>27</v>
      </c>
      <c r="E127" s="3" t="n">
        <v>27.8</v>
      </c>
      <c r="F127" s="4" t="n">
        <v>59</v>
      </c>
      <c r="G127" s="4" t="n">
        <v>1015</v>
      </c>
      <c r="H127" s="0" t="s">
        <v>10</v>
      </c>
      <c r="I127" s="3" t="n">
        <v>15.5</v>
      </c>
    </row>
    <row r="128" customFormat="false" ht="15" hidden="false" customHeight="false" outlineLevel="0" collapsed="false">
      <c r="A128" s="0" t="n">
        <v>127</v>
      </c>
      <c r="B128" s="2" t="n">
        <v>45886.6944444445</v>
      </c>
      <c r="C128" s="0" t="s">
        <v>9</v>
      </c>
      <c r="D128" s="3" t="n">
        <v>27</v>
      </c>
      <c r="E128" s="3" t="n">
        <v>26</v>
      </c>
      <c r="F128" s="4" t="n">
        <v>54</v>
      </c>
      <c r="G128" s="4" t="n">
        <v>1011</v>
      </c>
      <c r="H128" s="0" t="s">
        <v>10</v>
      </c>
      <c r="I128" s="3" t="n">
        <v>14.9</v>
      </c>
    </row>
    <row r="129" customFormat="false" ht="15" hidden="false" customHeight="false" outlineLevel="0" collapsed="false">
      <c r="A129" s="0" t="n">
        <v>128</v>
      </c>
      <c r="B129" s="2" t="n">
        <v>45887.8541666667</v>
      </c>
      <c r="C129" s="0" t="s">
        <v>9</v>
      </c>
      <c r="D129" s="3" t="n">
        <v>27.7</v>
      </c>
      <c r="E129" s="3" t="n">
        <v>28.8</v>
      </c>
      <c r="F129" s="4" t="n">
        <v>59</v>
      </c>
      <c r="G129" s="4" t="n">
        <v>1005</v>
      </c>
      <c r="H129" s="0" t="s">
        <v>14</v>
      </c>
      <c r="I129" s="3" t="n">
        <v>19.2</v>
      </c>
    </row>
    <row r="130" customFormat="false" ht="15" hidden="false" customHeight="false" outlineLevel="0" collapsed="false">
      <c r="A130" s="0" t="n">
        <v>129</v>
      </c>
      <c r="B130" s="2" t="n">
        <v>45888.2986111111</v>
      </c>
      <c r="C130" s="0" t="s">
        <v>9</v>
      </c>
      <c r="D130" s="3" t="n">
        <v>18.9</v>
      </c>
      <c r="E130" s="3" t="n">
        <v>19.4</v>
      </c>
      <c r="F130" s="4" t="n">
        <v>79</v>
      </c>
      <c r="G130" s="4" t="n">
        <v>1010</v>
      </c>
      <c r="H130" s="0" t="s">
        <v>15</v>
      </c>
      <c r="I130" s="3" t="n">
        <v>15.7</v>
      </c>
    </row>
    <row r="131" customFormat="false" ht="15" hidden="false" customHeight="false" outlineLevel="0" collapsed="false">
      <c r="A131" s="0" t="n">
        <v>130</v>
      </c>
      <c r="B131" s="2" t="n">
        <v>45889.8125</v>
      </c>
      <c r="C131" s="0" t="s">
        <v>9</v>
      </c>
      <c r="D131" s="3" t="n">
        <v>27.3</v>
      </c>
      <c r="E131" s="3" t="n">
        <v>28.8</v>
      </c>
      <c r="F131" s="4" t="n">
        <v>65</v>
      </c>
      <c r="G131" s="4" t="n">
        <v>1014</v>
      </c>
      <c r="H131" s="0" t="s">
        <v>10</v>
      </c>
      <c r="I131" s="3" t="n">
        <v>16.8</v>
      </c>
    </row>
    <row r="132" customFormat="false" ht="15" hidden="false" customHeight="false" outlineLevel="0" collapsed="false">
      <c r="A132" s="0" t="n">
        <v>131</v>
      </c>
      <c r="B132" s="2" t="n">
        <v>45890.2777777778</v>
      </c>
      <c r="C132" s="0" t="s">
        <v>9</v>
      </c>
      <c r="D132" s="3" t="n">
        <v>23.5</v>
      </c>
      <c r="E132" s="3" t="n">
        <v>23.8</v>
      </c>
      <c r="F132" s="4" t="n">
        <v>64</v>
      </c>
      <c r="G132" s="4" t="n">
        <v>1022</v>
      </c>
      <c r="H132" s="0" t="s">
        <v>10</v>
      </c>
      <c r="I132" s="3" t="n">
        <v>15.9</v>
      </c>
    </row>
    <row r="133" customFormat="false" ht="15" hidden="false" customHeight="false" outlineLevel="0" collapsed="false">
      <c r="A133" s="0" t="n">
        <v>132</v>
      </c>
      <c r="B133" s="2" t="n">
        <v>45891.7708333333</v>
      </c>
      <c r="C133" s="0" t="s">
        <v>9</v>
      </c>
      <c r="D133" s="3" t="n">
        <v>27.2</v>
      </c>
      <c r="E133" s="3" t="n">
        <v>26.5</v>
      </c>
      <c r="F133" s="4" t="n">
        <v>62</v>
      </c>
      <c r="G133" s="4" t="n">
        <v>1005</v>
      </c>
      <c r="H133" s="0" t="s">
        <v>12</v>
      </c>
      <c r="I133" s="3" t="n">
        <v>29.9</v>
      </c>
    </row>
    <row r="134" customFormat="false" ht="15" hidden="false" customHeight="false" outlineLevel="0" collapsed="false">
      <c r="A134" s="0" t="n">
        <v>133</v>
      </c>
      <c r="B134" s="2" t="n">
        <v>45892.2638888889</v>
      </c>
      <c r="C134" s="0" t="s">
        <v>9</v>
      </c>
      <c r="D134" s="3" t="n">
        <v>22.7</v>
      </c>
      <c r="E134" s="3" t="n">
        <v>23.8</v>
      </c>
      <c r="F134" s="4" t="n">
        <v>65</v>
      </c>
      <c r="G134" s="4" t="n">
        <v>1002</v>
      </c>
      <c r="H134" s="0" t="s">
        <v>13</v>
      </c>
      <c r="I134" s="3" t="n">
        <v>22.5</v>
      </c>
    </row>
    <row r="135" customFormat="false" ht="15" hidden="false" customHeight="false" outlineLevel="0" collapsed="false">
      <c r="A135" s="0" t="n">
        <v>134</v>
      </c>
      <c r="B135" s="2" t="n">
        <v>45893.6458333333</v>
      </c>
      <c r="C135" s="0" t="s">
        <v>9</v>
      </c>
      <c r="D135" s="3" t="n">
        <v>27.2</v>
      </c>
      <c r="E135" s="3" t="n">
        <v>27.9</v>
      </c>
      <c r="F135" s="4" t="n">
        <v>59</v>
      </c>
      <c r="G135" s="4" t="n">
        <v>1013</v>
      </c>
      <c r="H135" s="0" t="s">
        <v>10</v>
      </c>
      <c r="I135" s="3" t="n">
        <v>14.4</v>
      </c>
    </row>
    <row r="136" customFormat="false" ht="15" hidden="false" customHeight="false" outlineLevel="0" collapsed="false">
      <c r="A136" s="0" t="n">
        <v>135</v>
      </c>
      <c r="B136" s="2" t="n">
        <v>45894.8194444445</v>
      </c>
      <c r="C136" s="0" t="s">
        <v>9</v>
      </c>
      <c r="D136" s="3" t="n">
        <v>26.7</v>
      </c>
      <c r="E136" s="3" t="n">
        <v>25.7</v>
      </c>
      <c r="F136" s="4" t="n">
        <v>61</v>
      </c>
      <c r="G136" s="4" t="n">
        <v>1011</v>
      </c>
      <c r="H136" s="0" t="s">
        <v>14</v>
      </c>
      <c r="I136" s="3" t="n">
        <v>15.1</v>
      </c>
    </row>
    <row r="137" customFormat="false" ht="15" hidden="false" customHeight="false" outlineLevel="0" collapsed="false">
      <c r="A137" s="0" t="n">
        <v>136</v>
      </c>
      <c r="B137" s="2" t="n">
        <v>45895.5625</v>
      </c>
      <c r="C137" s="0" t="s">
        <v>9</v>
      </c>
      <c r="D137" s="3" t="n">
        <v>25.4</v>
      </c>
      <c r="E137" s="3" t="n">
        <v>24.8</v>
      </c>
      <c r="F137" s="4" t="n">
        <v>67</v>
      </c>
      <c r="G137" s="4" t="n">
        <v>1007</v>
      </c>
      <c r="H137" s="0" t="s">
        <v>17</v>
      </c>
      <c r="I137" s="3" t="n">
        <v>19.8</v>
      </c>
    </row>
    <row r="138" customFormat="false" ht="15" hidden="false" customHeight="false" outlineLevel="0" collapsed="false">
      <c r="A138" s="0" t="n">
        <v>137</v>
      </c>
      <c r="B138" s="2" t="n">
        <v>45896.5555555556</v>
      </c>
      <c r="C138" s="0" t="s">
        <v>9</v>
      </c>
      <c r="D138" s="3" t="n">
        <v>21.7</v>
      </c>
      <c r="E138" s="3" t="n">
        <v>22</v>
      </c>
      <c r="F138" s="4" t="n">
        <v>55</v>
      </c>
      <c r="G138" s="4" t="n">
        <v>1016</v>
      </c>
      <c r="H138" s="0" t="s">
        <v>12</v>
      </c>
      <c r="I138" s="3" t="n">
        <v>15.4</v>
      </c>
    </row>
    <row r="139" customFormat="false" ht="15" hidden="false" customHeight="false" outlineLevel="0" collapsed="false">
      <c r="A139" s="0" t="n">
        <v>138</v>
      </c>
      <c r="B139" s="2" t="n">
        <v>45897.8125</v>
      </c>
      <c r="C139" s="0" t="s">
        <v>9</v>
      </c>
      <c r="D139" s="3" t="n">
        <v>32.1</v>
      </c>
      <c r="E139" s="3" t="n">
        <v>33</v>
      </c>
      <c r="F139" s="4" t="n">
        <v>72</v>
      </c>
      <c r="G139" s="4" t="n">
        <v>1012</v>
      </c>
      <c r="H139" s="0" t="s">
        <v>15</v>
      </c>
      <c r="I139" s="3" t="n">
        <v>15.8</v>
      </c>
    </row>
    <row r="140" customFormat="false" ht="15" hidden="false" customHeight="false" outlineLevel="0" collapsed="false">
      <c r="A140" s="0" t="n">
        <v>139</v>
      </c>
      <c r="B140" s="2" t="n">
        <v>45898.2708333333</v>
      </c>
      <c r="C140" s="0" t="s">
        <v>9</v>
      </c>
      <c r="D140" s="3" t="n">
        <v>21.7</v>
      </c>
      <c r="E140" s="3" t="n">
        <v>22</v>
      </c>
      <c r="F140" s="4" t="n">
        <v>71</v>
      </c>
      <c r="G140" s="4" t="n">
        <v>1009</v>
      </c>
      <c r="H140" s="0" t="s">
        <v>10</v>
      </c>
      <c r="I140" s="3" t="n">
        <v>16.2</v>
      </c>
    </row>
    <row r="141" customFormat="false" ht="15" hidden="false" customHeight="false" outlineLevel="0" collapsed="false">
      <c r="A141" s="0" t="n">
        <v>140</v>
      </c>
      <c r="B141" s="2" t="n">
        <v>45899.7013888889</v>
      </c>
      <c r="C141" s="0" t="s">
        <v>9</v>
      </c>
      <c r="D141" s="3" t="n">
        <v>27.8</v>
      </c>
      <c r="E141" s="3" t="n">
        <v>27.7</v>
      </c>
      <c r="F141" s="4" t="n">
        <v>64</v>
      </c>
      <c r="G141" s="4" t="n">
        <v>1015</v>
      </c>
      <c r="H141" s="0" t="s">
        <v>10</v>
      </c>
      <c r="I141" s="3" t="n">
        <v>17.1</v>
      </c>
    </row>
    <row r="142" customFormat="false" ht="15" hidden="false" customHeight="false" outlineLevel="0" collapsed="false">
      <c r="A142" s="0" t="n">
        <v>141</v>
      </c>
      <c r="B142" s="2" t="n">
        <v>45900.7847222222</v>
      </c>
      <c r="C142" s="0" t="s">
        <v>9</v>
      </c>
      <c r="D142" s="3" t="n">
        <v>26.1</v>
      </c>
      <c r="E142" s="3" t="n">
        <v>28.7</v>
      </c>
      <c r="F142" s="4" t="n">
        <v>78</v>
      </c>
      <c r="G142" s="4" t="n">
        <v>1003</v>
      </c>
      <c r="H142" s="0" t="s">
        <v>11</v>
      </c>
      <c r="I142" s="3" t="n">
        <v>21.2</v>
      </c>
    </row>
    <row r="143" customFormat="false" ht="15" hidden="false" customHeight="false" outlineLevel="0" collapsed="false">
      <c r="A143" s="0" t="n">
        <v>142</v>
      </c>
      <c r="B143" s="2" t="n">
        <v>45901.4791666667</v>
      </c>
      <c r="C143" s="0" t="s">
        <v>9</v>
      </c>
      <c r="D143" s="3" t="n">
        <v>25.4</v>
      </c>
      <c r="E143" s="3" t="n">
        <v>25.6</v>
      </c>
      <c r="F143" s="4" t="n">
        <v>64</v>
      </c>
      <c r="G143" s="4" t="n">
        <v>1014</v>
      </c>
      <c r="H143" s="0" t="s">
        <v>10</v>
      </c>
      <c r="I143" s="3" t="n">
        <v>13.2</v>
      </c>
    </row>
    <row r="144" customFormat="false" ht="15" hidden="false" customHeight="false" outlineLevel="0" collapsed="false">
      <c r="A144" s="0" t="n">
        <v>143</v>
      </c>
      <c r="B144" s="2" t="n">
        <v>45902.4444444445</v>
      </c>
      <c r="C144" s="0" t="s">
        <v>9</v>
      </c>
      <c r="D144" s="3" t="n">
        <v>20.6</v>
      </c>
      <c r="E144" s="3" t="n">
        <v>21.1</v>
      </c>
      <c r="F144" s="4" t="n">
        <v>56</v>
      </c>
      <c r="G144" s="4" t="n">
        <v>1016</v>
      </c>
      <c r="H144" s="0" t="s">
        <v>10</v>
      </c>
      <c r="I144" s="3" t="n">
        <v>14.9</v>
      </c>
    </row>
    <row r="145" customFormat="false" ht="15" hidden="false" customHeight="false" outlineLevel="0" collapsed="false">
      <c r="A145" s="0" t="n">
        <v>144</v>
      </c>
      <c r="B145" s="2" t="n">
        <v>45903.2708333333</v>
      </c>
      <c r="C145" s="0" t="s">
        <v>9</v>
      </c>
      <c r="D145" s="3" t="n">
        <v>23.2</v>
      </c>
      <c r="E145" s="3" t="n">
        <v>22.8</v>
      </c>
      <c r="F145" s="4" t="n">
        <v>69</v>
      </c>
      <c r="G145" s="4" t="n">
        <v>1006</v>
      </c>
      <c r="H145" s="0" t="s">
        <v>15</v>
      </c>
      <c r="I145" s="3" t="n">
        <v>19.8</v>
      </c>
    </row>
    <row r="146" customFormat="false" ht="15" hidden="false" customHeight="false" outlineLevel="0" collapsed="false">
      <c r="A146" s="0" t="n">
        <v>145</v>
      </c>
      <c r="B146" s="2" t="n">
        <v>45904.25</v>
      </c>
      <c r="C146" s="0" t="s">
        <v>9</v>
      </c>
      <c r="D146" s="3" t="n">
        <v>22.1</v>
      </c>
      <c r="E146" s="3" t="n">
        <v>22.4</v>
      </c>
      <c r="F146" s="4" t="n">
        <v>48</v>
      </c>
      <c r="G146" s="4" t="n">
        <v>1016</v>
      </c>
      <c r="H146" s="0" t="s">
        <v>10</v>
      </c>
      <c r="I146" s="3" t="n">
        <v>20.3</v>
      </c>
    </row>
    <row r="147" customFormat="false" ht="15" hidden="false" customHeight="false" outlineLevel="0" collapsed="false">
      <c r="A147" s="0" t="n">
        <v>146</v>
      </c>
      <c r="B147" s="2" t="n">
        <v>45905.7986111111</v>
      </c>
      <c r="C147" s="0" t="s">
        <v>9</v>
      </c>
      <c r="D147" s="3" t="n">
        <v>30.5</v>
      </c>
      <c r="E147" s="3" t="n">
        <v>32.1</v>
      </c>
      <c r="F147" s="4" t="n">
        <v>66</v>
      </c>
      <c r="G147" s="4" t="n">
        <v>1013</v>
      </c>
      <c r="H147" s="0" t="s">
        <v>16</v>
      </c>
      <c r="I147" s="3" t="n">
        <v>15.4</v>
      </c>
    </row>
    <row r="148" customFormat="false" ht="15" hidden="false" customHeight="false" outlineLevel="0" collapsed="false">
      <c r="A148" s="0" t="n">
        <v>147</v>
      </c>
      <c r="B148" s="2" t="n">
        <v>45906.8402777778</v>
      </c>
      <c r="C148" s="0" t="s">
        <v>9</v>
      </c>
      <c r="D148" s="3" t="n">
        <v>26.1</v>
      </c>
      <c r="E148" s="3" t="n">
        <v>26.5</v>
      </c>
      <c r="F148" s="4" t="n">
        <v>65</v>
      </c>
      <c r="G148" s="4" t="n">
        <v>1020</v>
      </c>
      <c r="H148" s="0" t="s">
        <v>10</v>
      </c>
      <c r="I148" s="3" t="n">
        <v>13.2</v>
      </c>
    </row>
    <row r="149" customFormat="false" ht="15" hidden="false" customHeight="false" outlineLevel="0" collapsed="false">
      <c r="A149" s="0" t="n">
        <v>148</v>
      </c>
      <c r="B149" s="2" t="n">
        <v>45907.3055555556</v>
      </c>
      <c r="C149" s="0" t="s">
        <v>9</v>
      </c>
      <c r="D149" s="3" t="n">
        <v>24.3</v>
      </c>
      <c r="E149" s="3" t="n">
        <v>24</v>
      </c>
      <c r="F149" s="4" t="n">
        <v>68</v>
      </c>
      <c r="G149" s="4" t="n">
        <v>1012</v>
      </c>
      <c r="H149" s="0" t="s">
        <v>12</v>
      </c>
      <c r="I149" s="3" t="n">
        <v>17.1</v>
      </c>
    </row>
    <row r="150" customFormat="false" ht="15" hidden="false" customHeight="false" outlineLevel="0" collapsed="false">
      <c r="A150" s="0" t="n">
        <v>149</v>
      </c>
      <c r="B150" s="2" t="n">
        <v>45908.7638888889</v>
      </c>
      <c r="C150" s="0" t="s">
        <v>9</v>
      </c>
      <c r="D150" s="3" t="n">
        <v>25</v>
      </c>
      <c r="E150" s="3" t="n">
        <v>25.4</v>
      </c>
      <c r="F150" s="4" t="n">
        <v>56</v>
      </c>
      <c r="G150" s="4" t="n">
        <v>1006</v>
      </c>
      <c r="H150" s="0" t="s">
        <v>11</v>
      </c>
      <c r="I150" s="3" t="n">
        <v>20.5</v>
      </c>
    </row>
    <row r="151" customFormat="false" ht="15" hidden="false" customHeight="false" outlineLevel="0" collapsed="false">
      <c r="A151" s="0" t="n">
        <v>150</v>
      </c>
      <c r="B151" s="2" t="n">
        <v>45909.5208333333</v>
      </c>
      <c r="C151" s="0" t="s">
        <v>9</v>
      </c>
      <c r="D151" s="3" t="n">
        <v>20</v>
      </c>
      <c r="E151" s="3" t="n">
        <v>20.1</v>
      </c>
      <c r="F151" s="4" t="n">
        <v>71</v>
      </c>
      <c r="G151" s="4" t="n">
        <v>1007</v>
      </c>
      <c r="H151" s="0" t="s">
        <v>15</v>
      </c>
      <c r="I151" s="3" t="n">
        <v>21.1</v>
      </c>
    </row>
    <row r="152" customFormat="false" ht="15" hidden="false" customHeight="false" outlineLevel="0" collapsed="false">
      <c r="A152" s="0" t="n">
        <v>151</v>
      </c>
      <c r="B152" s="2" t="n">
        <v>45910.6805555556</v>
      </c>
      <c r="C152" s="0" t="s">
        <v>9</v>
      </c>
      <c r="D152" s="3" t="n">
        <v>24.8</v>
      </c>
      <c r="E152" s="3" t="n">
        <v>25.9</v>
      </c>
      <c r="F152" s="4" t="n">
        <v>69</v>
      </c>
      <c r="G152" s="4" t="n">
        <v>1012</v>
      </c>
      <c r="H152" s="0" t="s">
        <v>16</v>
      </c>
      <c r="I152" s="3" t="n">
        <v>12.4</v>
      </c>
    </row>
    <row r="153" customFormat="false" ht="15" hidden="false" customHeight="false" outlineLevel="0" collapsed="false">
      <c r="A153" s="0" t="n">
        <v>152</v>
      </c>
      <c r="B153" s="2" t="n">
        <v>45911.7638888889</v>
      </c>
      <c r="C153" s="0" t="s">
        <v>9</v>
      </c>
      <c r="D153" s="3" t="n">
        <v>26.5</v>
      </c>
      <c r="E153" s="3" t="n">
        <v>26.3</v>
      </c>
      <c r="F153" s="4" t="n">
        <v>50</v>
      </c>
      <c r="G153" s="4" t="n">
        <v>1011</v>
      </c>
      <c r="H153" s="0" t="s">
        <v>14</v>
      </c>
      <c r="I153" s="3" t="n">
        <v>15.4</v>
      </c>
    </row>
    <row r="154" customFormat="false" ht="15" hidden="false" customHeight="false" outlineLevel="0" collapsed="false">
      <c r="A154" s="0" t="n">
        <v>153</v>
      </c>
      <c r="B154" s="2" t="n">
        <v>45912.8055555556</v>
      </c>
      <c r="C154" s="0" t="s">
        <v>9</v>
      </c>
      <c r="D154" s="3" t="n">
        <v>27.8</v>
      </c>
      <c r="E154" s="3" t="n">
        <v>29.5</v>
      </c>
      <c r="F154" s="4" t="n">
        <v>66</v>
      </c>
      <c r="G154" s="4" t="n">
        <v>1013</v>
      </c>
      <c r="H154" s="0" t="s">
        <v>10</v>
      </c>
      <c r="I154" s="3" t="n">
        <v>18.5</v>
      </c>
    </row>
    <row r="155" customFormat="false" ht="15" hidden="false" customHeight="false" outlineLevel="0" collapsed="false">
      <c r="A155" s="0" t="n">
        <v>154</v>
      </c>
      <c r="B155" s="2" t="n">
        <v>45913.3541666667</v>
      </c>
      <c r="C155" s="0" t="s">
        <v>9</v>
      </c>
      <c r="D155" s="3" t="n">
        <v>19.5</v>
      </c>
      <c r="E155" s="3" t="n">
        <v>19.2</v>
      </c>
      <c r="F155" s="4" t="n">
        <v>70</v>
      </c>
      <c r="G155" s="4" t="n">
        <v>1014</v>
      </c>
      <c r="H155" s="0" t="s">
        <v>14</v>
      </c>
      <c r="I155" s="3" t="n">
        <v>13.9</v>
      </c>
    </row>
    <row r="156" customFormat="false" ht="15" hidden="false" customHeight="false" outlineLevel="0" collapsed="false">
      <c r="A156" s="0" t="n">
        <v>155</v>
      </c>
      <c r="B156" s="2" t="n">
        <v>45914.2847222222</v>
      </c>
      <c r="C156" s="0" t="s">
        <v>9</v>
      </c>
      <c r="D156" s="3" t="n">
        <v>20.2</v>
      </c>
      <c r="E156" s="3" t="n">
        <v>21</v>
      </c>
      <c r="F156" s="4" t="n">
        <v>70</v>
      </c>
      <c r="G156" s="4" t="n">
        <v>999</v>
      </c>
      <c r="H156" s="0" t="s">
        <v>15</v>
      </c>
      <c r="I156" s="3" t="n">
        <v>28.5</v>
      </c>
    </row>
    <row r="157" customFormat="false" ht="15" hidden="false" customHeight="false" outlineLevel="0" collapsed="false">
      <c r="A157" s="0" t="n">
        <v>156</v>
      </c>
      <c r="B157" s="2" t="n">
        <v>45915.3055555556</v>
      </c>
      <c r="C157" s="0" t="s">
        <v>9</v>
      </c>
      <c r="D157" s="3" t="n">
        <v>21.3</v>
      </c>
      <c r="E157" s="3" t="n">
        <v>20.9</v>
      </c>
      <c r="F157" s="4" t="n">
        <v>77</v>
      </c>
      <c r="G157" s="4" t="n">
        <v>1007</v>
      </c>
      <c r="H157" s="0" t="s">
        <v>16</v>
      </c>
      <c r="I157" s="3" t="n">
        <v>16.5</v>
      </c>
    </row>
    <row r="158" customFormat="false" ht="15" hidden="false" customHeight="false" outlineLevel="0" collapsed="false">
      <c r="A158" s="0" t="n">
        <v>157</v>
      </c>
      <c r="B158" s="2" t="n">
        <v>45917.5763888889</v>
      </c>
      <c r="C158" s="0" t="s">
        <v>9</v>
      </c>
      <c r="D158" s="3" t="n">
        <v>22.4</v>
      </c>
      <c r="E158" s="3" t="n">
        <v>23.4</v>
      </c>
      <c r="F158" s="4" t="n">
        <v>70</v>
      </c>
      <c r="G158" s="4" t="n">
        <v>1009</v>
      </c>
      <c r="H158" s="0" t="s">
        <v>14</v>
      </c>
      <c r="I158" s="3" t="n">
        <v>14.2</v>
      </c>
    </row>
    <row r="159" customFormat="false" ht="15" hidden="false" customHeight="false" outlineLevel="0" collapsed="false">
      <c r="A159" s="0" t="n">
        <v>158</v>
      </c>
      <c r="B159" s="2" t="n">
        <v>45918.3680555556</v>
      </c>
      <c r="C159" s="0" t="s">
        <v>9</v>
      </c>
      <c r="D159" s="3" t="n">
        <v>19.3</v>
      </c>
      <c r="E159" s="3" t="n">
        <v>18.5</v>
      </c>
      <c r="F159" s="4" t="n">
        <v>77</v>
      </c>
      <c r="G159" s="4" t="n">
        <v>1014</v>
      </c>
      <c r="H159" s="0" t="s">
        <v>16</v>
      </c>
      <c r="I159" s="3" t="n">
        <v>19.9</v>
      </c>
    </row>
    <row r="160" customFormat="false" ht="15" hidden="false" customHeight="false" outlineLevel="0" collapsed="false">
      <c r="A160" s="0" t="n">
        <v>159</v>
      </c>
      <c r="B160" s="2" t="n">
        <v>45919.2916666667</v>
      </c>
      <c r="C160" s="0" t="s">
        <v>9</v>
      </c>
      <c r="D160" s="3" t="n">
        <v>21.7</v>
      </c>
      <c r="E160" s="3" t="n">
        <v>22.3</v>
      </c>
      <c r="F160" s="4" t="n">
        <v>77</v>
      </c>
      <c r="G160" s="4" t="n">
        <v>1012</v>
      </c>
      <c r="H160" s="0" t="s">
        <v>16</v>
      </c>
      <c r="I160" s="3" t="n">
        <v>19.6</v>
      </c>
    </row>
    <row r="161" customFormat="false" ht="15" hidden="false" customHeight="false" outlineLevel="0" collapsed="false">
      <c r="A161" s="0" t="n">
        <v>160</v>
      </c>
      <c r="B161" s="2" t="n">
        <v>45920.5486111111</v>
      </c>
      <c r="C161" s="0" t="s">
        <v>9</v>
      </c>
      <c r="D161" s="3" t="n">
        <v>19.9</v>
      </c>
      <c r="E161" s="3" t="n">
        <v>20.2</v>
      </c>
      <c r="F161" s="4" t="n">
        <v>61</v>
      </c>
      <c r="G161" s="4" t="n">
        <v>1013</v>
      </c>
      <c r="H161" s="0" t="s">
        <v>10</v>
      </c>
      <c r="I161" s="3" t="n">
        <v>18</v>
      </c>
    </row>
    <row r="162" customFormat="false" ht="15" hidden="false" customHeight="false" outlineLevel="0" collapsed="false">
      <c r="A162" s="0" t="n">
        <v>161</v>
      </c>
      <c r="B162" s="2" t="n">
        <v>45921.2777777778</v>
      </c>
      <c r="C162" s="0" t="s">
        <v>9</v>
      </c>
      <c r="D162" s="3" t="n">
        <v>22.6</v>
      </c>
      <c r="E162" s="3" t="n">
        <v>22.2</v>
      </c>
      <c r="F162" s="4" t="n">
        <v>59</v>
      </c>
      <c r="G162" s="4" t="n">
        <v>1012</v>
      </c>
      <c r="H162" s="0" t="s">
        <v>14</v>
      </c>
      <c r="I162" s="3" t="n">
        <v>14</v>
      </c>
    </row>
    <row r="163" customFormat="false" ht="15" hidden="false" customHeight="false" outlineLevel="0" collapsed="false">
      <c r="A163" s="0" t="n">
        <v>162</v>
      </c>
      <c r="B163" s="2" t="n">
        <v>45922.4236111111</v>
      </c>
      <c r="C163" s="0" t="s">
        <v>9</v>
      </c>
      <c r="D163" s="3" t="n">
        <v>20.9</v>
      </c>
      <c r="E163" s="3" t="n">
        <v>19.8</v>
      </c>
      <c r="F163" s="4" t="n">
        <v>70</v>
      </c>
      <c r="G163" s="4" t="n">
        <v>1008</v>
      </c>
      <c r="H163" s="0" t="s">
        <v>17</v>
      </c>
      <c r="I163" s="3" t="n">
        <v>15.5</v>
      </c>
    </row>
    <row r="164" customFormat="false" ht="15" hidden="false" customHeight="false" outlineLevel="0" collapsed="false">
      <c r="A164" s="0" t="n">
        <v>163</v>
      </c>
      <c r="B164" s="2" t="n">
        <v>45923.4375</v>
      </c>
      <c r="C164" s="0" t="s">
        <v>9</v>
      </c>
      <c r="D164" s="3" t="n">
        <v>21.2</v>
      </c>
      <c r="E164" s="3" t="n">
        <v>21.4</v>
      </c>
      <c r="F164" s="4" t="n">
        <v>59</v>
      </c>
      <c r="G164" s="4" t="n">
        <v>1018</v>
      </c>
      <c r="H164" s="0" t="s">
        <v>10</v>
      </c>
      <c r="I164" s="3" t="n">
        <v>19.3</v>
      </c>
    </row>
    <row r="165" customFormat="false" ht="15" hidden="false" customHeight="false" outlineLevel="0" collapsed="false">
      <c r="A165" s="0" t="n">
        <v>164</v>
      </c>
      <c r="B165" s="2" t="n">
        <v>45924.4027777778</v>
      </c>
      <c r="C165" s="0" t="s">
        <v>9</v>
      </c>
      <c r="D165" s="3" t="n">
        <v>21.5</v>
      </c>
      <c r="E165" s="3" t="n">
        <v>21.1</v>
      </c>
      <c r="F165" s="4" t="n">
        <v>51</v>
      </c>
      <c r="G165" s="4" t="n">
        <v>1004</v>
      </c>
      <c r="H165" s="0" t="s">
        <v>12</v>
      </c>
      <c r="I165" s="3" t="n">
        <v>21.8</v>
      </c>
    </row>
    <row r="166" customFormat="false" ht="15" hidden="false" customHeight="false" outlineLevel="0" collapsed="false">
      <c r="A166" s="0" t="n">
        <v>165</v>
      </c>
      <c r="B166" s="2" t="n">
        <v>45925.5208333333</v>
      </c>
      <c r="C166" s="0" t="s">
        <v>9</v>
      </c>
      <c r="D166" s="3" t="n">
        <v>20.8</v>
      </c>
      <c r="E166" s="3" t="n">
        <v>20.8</v>
      </c>
      <c r="F166" s="4" t="n">
        <v>63</v>
      </c>
      <c r="G166" s="4" t="n">
        <v>1015</v>
      </c>
      <c r="H166" s="0" t="s">
        <v>10</v>
      </c>
      <c r="I166" s="3" t="n">
        <v>13.3</v>
      </c>
    </row>
    <row r="167" customFormat="false" ht="15" hidden="false" customHeight="false" outlineLevel="0" collapsed="false">
      <c r="A167" s="0" t="n">
        <v>166</v>
      </c>
      <c r="B167" s="2" t="n">
        <v>45926.5972222222</v>
      </c>
      <c r="C167" s="0" t="s">
        <v>9</v>
      </c>
      <c r="D167" s="3" t="n">
        <v>23.5</v>
      </c>
      <c r="E167" s="3" t="n">
        <v>22.7</v>
      </c>
      <c r="F167" s="4" t="n">
        <v>72</v>
      </c>
      <c r="G167" s="4" t="n">
        <v>1007</v>
      </c>
      <c r="H167" s="0" t="s">
        <v>17</v>
      </c>
      <c r="I167" s="3" t="n">
        <v>17.8</v>
      </c>
    </row>
    <row r="168" customFormat="false" ht="15" hidden="false" customHeight="false" outlineLevel="0" collapsed="false">
      <c r="A168" s="0" t="n">
        <v>167</v>
      </c>
      <c r="B168" s="2" t="n">
        <v>45927.4861111111</v>
      </c>
      <c r="C168" s="0" t="s">
        <v>9</v>
      </c>
      <c r="D168" s="3" t="n">
        <v>20.1</v>
      </c>
      <c r="E168" s="3" t="n">
        <v>20.7</v>
      </c>
      <c r="F168" s="4" t="n">
        <v>72</v>
      </c>
      <c r="G168" s="4" t="n">
        <v>1008</v>
      </c>
      <c r="H168" s="0" t="s">
        <v>12</v>
      </c>
      <c r="I168" s="3" t="n">
        <v>17.3</v>
      </c>
    </row>
    <row r="169" customFormat="false" ht="15" hidden="false" customHeight="false" outlineLevel="0" collapsed="false">
      <c r="A169" s="0" t="n">
        <v>168</v>
      </c>
      <c r="B169" s="2" t="n">
        <v>45928.3819444445</v>
      </c>
      <c r="C169" s="0" t="s">
        <v>9</v>
      </c>
      <c r="D169" s="3" t="n">
        <v>19.9</v>
      </c>
      <c r="E169" s="3" t="n">
        <v>20.4</v>
      </c>
      <c r="F169" s="4" t="n">
        <v>66</v>
      </c>
      <c r="G169" s="4" t="n">
        <v>1017</v>
      </c>
      <c r="H169" s="0" t="s">
        <v>12</v>
      </c>
      <c r="I169" s="3" t="n">
        <v>16.4</v>
      </c>
    </row>
    <row r="170" customFormat="false" ht="15" hidden="false" customHeight="false" outlineLevel="0" collapsed="false">
      <c r="A170" s="0" t="n">
        <v>169</v>
      </c>
      <c r="B170" s="2" t="n">
        <v>45929.625</v>
      </c>
      <c r="C170" s="0" t="s">
        <v>9</v>
      </c>
      <c r="D170" s="3" t="n">
        <v>21.3</v>
      </c>
      <c r="E170" s="3" t="n">
        <v>22.4</v>
      </c>
      <c r="F170" s="4" t="n">
        <v>48</v>
      </c>
      <c r="G170" s="4" t="n">
        <v>1015</v>
      </c>
      <c r="H170" s="0" t="s">
        <v>10</v>
      </c>
      <c r="I170" s="3" t="n">
        <v>15.4</v>
      </c>
    </row>
    <row r="171" customFormat="false" ht="15" hidden="false" customHeight="false" outlineLevel="0" collapsed="false">
      <c r="A171" s="0" t="n">
        <v>170</v>
      </c>
      <c r="B171" s="2" t="n">
        <v>45930.2638888889</v>
      </c>
      <c r="C171" s="0" t="s">
        <v>9</v>
      </c>
      <c r="D171" s="3" t="n">
        <v>19.8</v>
      </c>
      <c r="E171" s="3" t="n">
        <v>19.5</v>
      </c>
      <c r="F171" s="4" t="n">
        <v>61</v>
      </c>
      <c r="G171" s="4" t="n">
        <v>1003</v>
      </c>
      <c r="H171" s="0" t="s">
        <v>16</v>
      </c>
      <c r="I171" s="3" t="n">
        <v>26.5</v>
      </c>
    </row>
    <row r="172" customFormat="false" ht="15" hidden="false" customHeight="false" outlineLevel="0" collapsed="false">
      <c r="A172" s="0" t="n">
        <v>171</v>
      </c>
      <c r="B172" s="2" t="n">
        <v>45931.7708333333</v>
      </c>
      <c r="C172" s="0" t="s">
        <v>9</v>
      </c>
      <c r="D172" s="3" t="n">
        <v>25.6</v>
      </c>
      <c r="E172" s="3" t="n">
        <v>26</v>
      </c>
      <c r="F172" s="4" t="n">
        <v>52</v>
      </c>
      <c r="G172" s="4" t="n">
        <v>1008</v>
      </c>
      <c r="H172" s="0" t="s">
        <v>14</v>
      </c>
      <c r="I172" s="3" t="n">
        <v>23.2</v>
      </c>
    </row>
    <row r="173" customFormat="false" ht="15" hidden="false" customHeight="false" outlineLevel="0" collapsed="false">
      <c r="A173" s="0" t="n">
        <v>172</v>
      </c>
      <c r="B173" s="2" t="n">
        <v>45932.5</v>
      </c>
      <c r="C173" s="0" t="s">
        <v>9</v>
      </c>
      <c r="D173" s="3" t="n">
        <v>18.7</v>
      </c>
      <c r="E173" s="3" t="n">
        <v>18</v>
      </c>
      <c r="F173" s="4" t="n">
        <v>66</v>
      </c>
      <c r="G173" s="4" t="n">
        <v>1008</v>
      </c>
      <c r="H173" s="0" t="s">
        <v>16</v>
      </c>
      <c r="I173" s="3" t="n">
        <v>17.3</v>
      </c>
    </row>
    <row r="174" customFormat="false" ht="15" hidden="false" customHeight="false" outlineLevel="0" collapsed="false">
      <c r="A174" s="0" t="n">
        <v>173</v>
      </c>
      <c r="B174" s="2" t="n">
        <v>45933.5416666667</v>
      </c>
      <c r="C174" s="0" t="s">
        <v>9</v>
      </c>
      <c r="D174" s="3" t="n">
        <v>21.3</v>
      </c>
      <c r="E174" s="3" t="n">
        <v>22.1</v>
      </c>
      <c r="F174" s="4" t="n">
        <v>93</v>
      </c>
      <c r="G174" s="4" t="n">
        <v>1004</v>
      </c>
      <c r="H174" s="0" t="s">
        <v>11</v>
      </c>
      <c r="I174" s="3" t="n">
        <v>17.8</v>
      </c>
    </row>
    <row r="175" customFormat="false" ht="15" hidden="false" customHeight="false" outlineLevel="0" collapsed="false">
      <c r="A175" s="0" t="n">
        <v>174</v>
      </c>
      <c r="B175" s="2" t="n">
        <v>45934.6597222222</v>
      </c>
      <c r="C175" s="0" t="s">
        <v>9</v>
      </c>
      <c r="D175" s="3" t="n">
        <v>22</v>
      </c>
      <c r="E175" s="3" t="n">
        <v>22.7</v>
      </c>
      <c r="F175" s="4" t="n">
        <v>74</v>
      </c>
      <c r="G175" s="4" t="n">
        <v>1006</v>
      </c>
      <c r="H175" s="0" t="s">
        <v>11</v>
      </c>
      <c r="I175" s="3" t="n">
        <v>29.3</v>
      </c>
    </row>
    <row r="176" customFormat="false" ht="15" hidden="false" customHeight="false" outlineLevel="0" collapsed="false">
      <c r="A176" s="0" t="n">
        <v>175</v>
      </c>
      <c r="B176" s="2" t="n">
        <v>45935.4027777778</v>
      </c>
      <c r="C176" s="0" t="s">
        <v>9</v>
      </c>
      <c r="D176" s="3" t="n">
        <v>19.6</v>
      </c>
      <c r="E176" s="3" t="n">
        <v>18.9</v>
      </c>
      <c r="F176" s="4" t="n">
        <v>84</v>
      </c>
      <c r="G176" s="4" t="n">
        <v>1003</v>
      </c>
      <c r="H176" s="0" t="s">
        <v>15</v>
      </c>
      <c r="I176" s="3" t="n">
        <v>20.7</v>
      </c>
    </row>
    <row r="177" customFormat="false" ht="15" hidden="false" customHeight="false" outlineLevel="0" collapsed="false">
      <c r="A177" s="0" t="n">
        <v>176</v>
      </c>
      <c r="B177" s="2" t="n">
        <v>45936.3055555556</v>
      </c>
      <c r="C177" s="0" t="s">
        <v>9</v>
      </c>
      <c r="D177" s="3" t="n">
        <v>19.2</v>
      </c>
      <c r="E177" s="3" t="n">
        <v>19.3</v>
      </c>
      <c r="F177" s="4" t="n">
        <v>97</v>
      </c>
      <c r="G177" s="4" t="n">
        <v>1012</v>
      </c>
      <c r="H177" s="0" t="s">
        <v>15</v>
      </c>
      <c r="I177" s="3" t="n">
        <v>22.6</v>
      </c>
    </row>
    <row r="178" customFormat="false" ht="15" hidden="false" customHeight="false" outlineLevel="0" collapsed="false">
      <c r="A178" s="0" t="n">
        <v>177</v>
      </c>
      <c r="B178" s="2" t="n">
        <v>45937.8263888889</v>
      </c>
      <c r="C178" s="0" t="s">
        <v>9</v>
      </c>
      <c r="D178" s="3" t="n">
        <v>27.5</v>
      </c>
      <c r="E178" s="3" t="n">
        <v>27.9</v>
      </c>
      <c r="F178" s="4" t="n">
        <v>63</v>
      </c>
      <c r="G178" s="4" t="n">
        <v>1012</v>
      </c>
      <c r="H178" s="0" t="s">
        <v>17</v>
      </c>
      <c r="I178" s="3" t="n">
        <v>15.4</v>
      </c>
    </row>
    <row r="179" customFormat="false" ht="15" hidden="false" customHeight="false" outlineLevel="0" collapsed="false">
      <c r="A179" s="0" t="n">
        <v>178</v>
      </c>
      <c r="B179" s="2" t="n">
        <v>45938.7083333333</v>
      </c>
      <c r="C179" s="0" t="s">
        <v>9</v>
      </c>
      <c r="D179" s="3" t="n">
        <v>25.2</v>
      </c>
      <c r="E179" s="3" t="n">
        <v>24.7</v>
      </c>
      <c r="F179" s="4" t="n">
        <v>55</v>
      </c>
      <c r="G179" s="4" t="n">
        <v>1020</v>
      </c>
      <c r="H179" s="0" t="s">
        <v>10</v>
      </c>
      <c r="I179" s="3" t="n">
        <v>18.7</v>
      </c>
    </row>
    <row r="180" customFormat="false" ht="15" hidden="false" customHeight="false" outlineLevel="0" collapsed="false">
      <c r="A180" s="0" t="n">
        <v>179</v>
      </c>
      <c r="B180" s="2" t="n">
        <v>45939.6666666667</v>
      </c>
      <c r="C180" s="0" t="s">
        <v>9</v>
      </c>
      <c r="D180" s="3" t="n">
        <v>23.2</v>
      </c>
      <c r="E180" s="3" t="n">
        <v>22.9</v>
      </c>
      <c r="F180" s="4" t="n">
        <v>74</v>
      </c>
      <c r="G180" s="4" t="n">
        <v>999</v>
      </c>
      <c r="H180" s="0" t="s">
        <v>15</v>
      </c>
      <c r="I180" s="3" t="n">
        <v>26.1</v>
      </c>
    </row>
    <row r="181" customFormat="false" ht="15" hidden="false" customHeight="false" outlineLevel="0" collapsed="false">
      <c r="A181" s="0" t="n">
        <v>180</v>
      </c>
      <c r="B181" s="2" t="n">
        <v>45940.8125</v>
      </c>
      <c r="C181" s="0" t="s">
        <v>9</v>
      </c>
      <c r="D181" s="3" t="n">
        <v>23</v>
      </c>
      <c r="E181" s="3" t="n">
        <v>22</v>
      </c>
      <c r="F181" s="4" t="n">
        <v>73</v>
      </c>
      <c r="G181" s="4" t="n">
        <v>1014</v>
      </c>
      <c r="H181" s="0" t="s">
        <v>12</v>
      </c>
      <c r="I181" s="3" t="n">
        <v>14.4</v>
      </c>
    </row>
    <row r="182" customFormat="false" ht="15" hidden="false" customHeight="false" outlineLevel="0" collapsed="false">
      <c r="A182" s="0" t="n">
        <v>181</v>
      </c>
      <c r="B182" s="2" t="n">
        <v>45941.3958333333</v>
      </c>
      <c r="C182" s="0" t="s">
        <v>9</v>
      </c>
      <c r="D182" s="3" t="n">
        <v>18.7</v>
      </c>
      <c r="E182" s="3" t="n">
        <v>19.3</v>
      </c>
      <c r="F182" s="4" t="n">
        <v>58</v>
      </c>
      <c r="G182" s="4" t="n">
        <v>1015</v>
      </c>
      <c r="H182" s="0" t="s">
        <v>10</v>
      </c>
      <c r="I182" s="3" t="n">
        <v>14.1</v>
      </c>
    </row>
    <row r="183" customFormat="false" ht="15" hidden="false" customHeight="false" outlineLevel="0" collapsed="false">
      <c r="A183" s="0" t="n">
        <v>182</v>
      </c>
      <c r="B183" s="2" t="n">
        <v>45942.7430555556</v>
      </c>
      <c r="C183" s="0" t="s">
        <v>9</v>
      </c>
      <c r="D183" s="3" t="n">
        <v>21</v>
      </c>
      <c r="E183" s="3" t="n">
        <v>20.2</v>
      </c>
      <c r="F183" s="4" t="n">
        <v>70</v>
      </c>
      <c r="G183" s="4" t="n">
        <v>1013</v>
      </c>
      <c r="H183" s="0" t="s">
        <v>16</v>
      </c>
      <c r="I183" s="3" t="n">
        <v>13.6</v>
      </c>
    </row>
    <row r="184" customFormat="false" ht="15" hidden="false" customHeight="false" outlineLevel="0" collapsed="false">
      <c r="A184" s="0" t="n">
        <v>183</v>
      </c>
      <c r="B184" s="2" t="n">
        <v>45943.8680555556</v>
      </c>
      <c r="C184" s="0" t="s">
        <v>9</v>
      </c>
      <c r="D184" s="3" t="n">
        <v>25.1</v>
      </c>
      <c r="E184" s="3" t="n">
        <v>25</v>
      </c>
      <c r="F184" s="4" t="n">
        <v>68</v>
      </c>
      <c r="G184" s="4" t="n">
        <v>1003</v>
      </c>
      <c r="H184" s="0" t="s">
        <v>13</v>
      </c>
      <c r="I184" s="3" t="n">
        <v>21.7</v>
      </c>
    </row>
    <row r="185" customFormat="false" ht="15" hidden="false" customHeight="false" outlineLevel="0" collapsed="false">
      <c r="A185" s="0" t="n">
        <v>184</v>
      </c>
      <c r="B185" s="2" t="n">
        <v>45944.4375</v>
      </c>
      <c r="C185" s="0" t="s">
        <v>9</v>
      </c>
      <c r="D185" s="3" t="n">
        <v>21.8</v>
      </c>
      <c r="E185" s="3" t="n">
        <v>21.2</v>
      </c>
      <c r="F185" s="4" t="n">
        <v>82</v>
      </c>
      <c r="G185" s="4" t="n">
        <v>1011</v>
      </c>
      <c r="H185" s="0" t="s">
        <v>14</v>
      </c>
      <c r="I185" s="3" t="n">
        <v>14.1</v>
      </c>
    </row>
    <row r="186" customFormat="false" ht="15" hidden="false" customHeight="false" outlineLevel="0" collapsed="false">
      <c r="A186" s="0" t="n">
        <v>185</v>
      </c>
      <c r="B186" s="2" t="n">
        <v>45946.4930555556</v>
      </c>
      <c r="C186" s="0" t="s">
        <v>9</v>
      </c>
      <c r="D186" s="3" t="n">
        <v>20.3</v>
      </c>
      <c r="E186" s="3" t="n">
        <v>20.7</v>
      </c>
      <c r="F186" s="4" t="n">
        <v>77</v>
      </c>
      <c r="G186" s="4" t="n">
        <v>1010</v>
      </c>
      <c r="H186" s="0" t="s">
        <v>12</v>
      </c>
      <c r="I186" s="3" t="n">
        <v>16.8</v>
      </c>
    </row>
    <row r="187" customFormat="false" ht="15" hidden="false" customHeight="false" outlineLevel="0" collapsed="false">
      <c r="A187" s="0" t="n">
        <v>186</v>
      </c>
      <c r="B187" s="2" t="n">
        <v>45947.6111111111</v>
      </c>
      <c r="C187" s="0" t="s">
        <v>9</v>
      </c>
      <c r="D187" s="3" t="n">
        <v>24.9</v>
      </c>
      <c r="E187" s="3" t="n">
        <v>24.6</v>
      </c>
      <c r="F187" s="4" t="n">
        <v>73</v>
      </c>
      <c r="G187" s="4" t="n">
        <v>1018</v>
      </c>
      <c r="H187" s="0" t="s">
        <v>10</v>
      </c>
      <c r="I187" s="3" t="n">
        <v>15.5</v>
      </c>
    </row>
    <row r="188" customFormat="false" ht="15" hidden="false" customHeight="false" outlineLevel="0" collapsed="false">
      <c r="A188" s="0" t="n">
        <v>187</v>
      </c>
      <c r="B188" s="2" t="n">
        <v>45948.8958333333</v>
      </c>
      <c r="C188" s="0" t="s">
        <v>9</v>
      </c>
      <c r="D188" s="3" t="n">
        <v>19.3</v>
      </c>
      <c r="E188" s="3" t="n">
        <v>20</v>
      </c>
      <c r="F188" s="4" t="n">
        <v>83</v>
      </c>
      <c r="G188" s="4" t="n">
        <v>1011</v>
      </c>
      <c r="H188" s="0" t="s">
        <v>18</v>
      </c>
      <c r="I188" s="3" t="n">
        <v>23.5</v>
      </c>
    </row>
    <row r="189" customFormat="false" ht="15" hidden="false" customHeight="false" outlineLevel="0" collapsed="false">
      <c r="A189" s="0" t="n">
        <v>188</v>
      </c>
      <c r="B189" s="2" t="n">
        <v>45949.8263888889</v>
      </c>
      <c r="C189" s="0" t="s">
        <v>9</v>
      </c>
      <c r="D189" s="3" t="n">
        <v>23.1</v>
      </c>
      <c r="E189" s="3" t="n">
        <v>23</v>
      </c>
      <c r="F189" s="4" t="n">
        <v>57</v>
      </c>
      <c r="G189" s="4" t="n">
        <v>1020</v>
      </c>
      <c r="H189" s="0" t="s">
        <v>10</v>
      </c>
      <c r="I189" s="3" t="n">
        <v>14.9</v>
      </c>
    </row>
    <row r="190" customFormat="false" ht="15" hidden="false" customHeight="false" outlineLevel="0" collapsed="false">
      <c r="A190" s="0" t="n">
        <v>189</v>
      </c>
      <c r="B190" s="2" t="n">
        <v>45950.5972222222</v>
      </c>
      <c r="C190" s="0" t="s">
        <v>9</v>
      </c>
      <c r="D190" s="3" t="n">
        <v>19.8</v>
      </c>
      <c r="E190" s="3" t="n">
        <v>18.7</v>
      </c>
      <c r="F190" s="4" t="n">
        <v>54</v>
      </c>
      <c r="G190" s="4" t="n">
        <v>1014</v>
      </c>
      <c r="H190" s="0" t="s">
        <v>10</v>
      </c>
      <c r="I190" s="3" t="n">
        <v>14.9</v>
      </c>
    </row>
    <row r="191" customFormat="false" ht="15" hidden="false" customHeight="false" outlineLevel="0" collapsed="false">
      <c r="A191" s="0" t="n">
        <v>190</v>
      </c>
      <c r="B191" s="2" t="n">
        <v>45951.5416666667</v>
      </c>
      <c r="C191" s="0" t="s">
        <v>9</v>
      </c>
      <c r="D191" s="3" t="n">
        <v>20</v>
      </c>
      <c r="E191" s="3" t="n">
        <v>20.6</v>
      </c>
      <c r="F191" s="4" t="n">
        <v>67</v>
      </c>
      <c r="G191" s="4" t="n">
        <v>1018</v>
      </c>
      <c r="H191" s="0" t="s">
        <v>10</v>
      </c>
      <c r="I191" s="3" t="n">
        <v>15.6</v>
      </c>
    </row>
    <row r="192" customFormat="false" ht="15" hidden="false" customHeight="false" outlineLevel="0" collapsed="false">
      <c r="A192" s="0" t="n">
        <v>191</v>
      </c>
      <c r="B192" s="2" t="n">
        <v>45952.6041666667</v>
      </c>
      <c r="C192" s="0" t="s">
        <v>9</v>
      </c>
      <c r="D192" s="3" t="n">
        <v>20.9</v>
      </c>
      <c r="E192" s="3" t="n">
        <v>20</v>
      </c>
      <c r="F192" s="4" t="n">
        <v>77</v>
      </c>
      <c r="G192" s="4" t="n">
        <v>1014</v>
      </c>
      <c r="H192" s="0" t="s">
        <v>12</v>
      </c>
      <c r="I192" s="3" t="n">
        <v>22.4</v>
      </c>
    </row>
    <row r="193" customFormat="false" ht="15" hidden="false" customHeight="false" outlineLevel="0" collapsed="false">
      <c r="A193" s="0" t="n">
        <v>192</v>
      </c>
      <c r="B193" s="2" t="n">
        <v>45953.5625</v>
      </c>
      <c r="C193" s="0" t="s">
        <v>9</v>
      </c>
      <c r="D193" s="3" t="n">
        <v>17.2</v>
      </c>
      <c r="E193" s="3" t="n">
        <v>18.3</v>
      </c>
      <c r="F193" s="4" t="n">
        <v>83</v>
      </c>
      <c r="G193" s="4" t="n">
        <v>1012</v>
      </c>
      <c r="H193" s="0" t="s">
        <v>17</v>
      </c>
      <c r="I193" s="3" t="n">
        <v>23.6</v>
      </c>
    </row>
    <row r="194" customFormat="false" ht="15" hidden="false" customHeight="false" outlineLevel="0" collapsed="false">
      <c r="A194" s="0" t="n">
        <v>193</v>
      </c>
      <c r="B194" s="2" t="n">
        <v>45954.7638888889</v>
      </c>
      <c r="C194" s="0" t="s">
        <v>9</v>
      </c>
      <c r="D194" s="3" t="n">
        <v>20.4</v>
      </c>
      <c r="E194" s="3" t="n">
        <v>20.6</v>
      </c>
      <c r="F194" s="4" t="n">
        <v>63</v>
      </c>
      <c r="G194" s="4" t="n">
        <v>1017</v>
      </c>
      <c r="H194" s="0" t="s">
        <v>10</v>
      </c>
      <c r="I194" s="3" t="n">
        <v>16</v>
      </c>
    </row>
    <row r="195" customFormat="false" ht="15" hidden="false" customHeight="false" outlineLevel="0" collapsed="false">
      <c r="A195" s="0" t="n">
        <v>194</v>
      </c>
      <c r="B195" s="2" t="n">
        <v>45955.2708333333</v>
      </c>
      <c r="C195" s="0" t="s">
        <v>9</v>
      </c>
      <c r="D195" s="3" t="n">
        <v>18.7</v>
      </c>
      <c r="E195" s="3" t="n">
        <v>18.5</v>
      </c>
      <c r="F195" s="4" t="n">
        <v>59</v>
      </c>
      <c r="G195" s="4" t="n">
        <v>1014</v>
      </c>
      <c r="H195" s="0" t="s">
        <v>10</v>
      </c>
      <c r="I195" s="3" t="n">
        <v>15.5</v>
      </c>
    </row>
    <row r="196" customFormat="false" ht="15" hidden="false" customHeight="false" outlineLevel="0" collapsed="false">
      <c r="A196" s="0" t="n">
        <v>195</v>
      </c>
      <c r="B196" s="2" t="n">
        <v>45956.6736111111</v>
      </c>
      <c r="C196" s="0" t="s">
        <v>9</v>
      </c>
      <c r="D196" s="3" t="n">
        <v>20.6</v>
      </c>
      <c r="E196" s="3" t="n">
        <v>21.8</v>
      </c>
      <c r="F196" s="4" t="n">
        <v>63</v>
      </c>
      <c r="G196" s="4" t="n">
        <v>1021</v>
      </c>
      <c r="H196" s="0" t="s">
        <v>14</v>
      </c>
      <c r="I196" s="3" t="n">
        <v>17.7</v>
      </c>
    </row>
    <row r="197" customFormat="false" ht="15" hidden="false" customHeight="false" outlineLevel="0" collapsed="false">
      <c r="A197" s="0" t="n">
        <v>196</v>
      </c>
      <c r="B197" s="2" t="n">
        <v>45957.8819444445</v>
      </c>
      <c r="C197" s="0" t="s">
        <v>9</v>
      </c>
      <c r="D197" s="3" t="n">
        <v>21.5</v>
      </c>
      <c r="E197" s="3" t="n">
        <v>21.2</v>
      </c>
      <c r="F197" s="4" t="n">
        <v>92</v>
      </c>
      <c r="G197" s="4" t="n">
        <v>1014</v>
      </c>
      <c r="H197" s="0" t="s">
        <v>14</v>
      </c>
      <c r="I197" s="3" t="n">
        <v>13.9</v>
      </c>
    </row>
    <row r="198" customFormat="false" ht="15" hidden="false" customHeight="false" outlineLevel="0" collapsed="false">
      <c r="A198" s="0" t="n">
        <v>197</v>
      </c>
      <c r="B198" s="2" t="n">
        <v>45958.7222222222</v>
      </c>
      <c r="C198" s="0" t="s">
        <v>9</v>
      </c>
      <c r="D198" s="3" t="n">
        <v>22.3</v>
      </c>
      <c r="E198" s="3" t="n">
        <v>21.3</v>
      </c>
      <c r="F198" s="4" t="n">
        <v>52</v>
      </c>
      <c r="G198" s="4" t="n">
        <v>1015</v>
      </c>
      <c r="H198" s="0" t="s">
        <v>10</v>
      </c>
      <c r="I198" s="3" t="n">
        <v>14.1</v>
      </c>
    </row>
    <row r="199" customFormat="false" ht="15" hidden="false" customHeight="false" outlineLevel="0" collapsed="false">
      <c r="A199" s="0" t="n">
        <v>198</v>
      </c>
      <c r="B199" s="2" t="n">
        <v>45959.6805555556</v>
      </c>
      <c r="C199" s="0" t="s">
        <v>9</v>
      </c>
      <c r="D199" s="3" t="n">
        <v>21.1</v>
      </c>
      <c r="E199" s="3" t="n">
        <v>21.5</v>
      </c>
      <c r="F199" s="4" t="n">
        <v>63</v>
      </c>
      <c r="G199" s="4" t="n">
        <v>1009</v>
      </c>
      <c r="H199" s="0" t="s">
        <v>12</v>
      </c>
      <c r="I199" s="3" t="n">
        <v>19.7</v>
      </c>
    </row>
    <row r="200" customFormat="false" ht="15" hidden="false" customHeight="false" outlineLevel="0" collapsed="false">
      <c r="A200" s="0" t="n">
        <v>199</v>
      </c>
      <c r="B200" s="2" t="n">
        <v>45960.6111111111</v>
      </c>
      <c r="C200" s="0" t="s">
        <v>9</v>
      </c>
      <c r="D200" s="3" t="n">
        <v>21</v>
      </c>
      <c r="E200" s="3" t="n">
        <v>20.4</v>
      </c>
      <c r="F200" s="4" t="n">
        <v>64</v>
      </c>
      <c r="G200" s="4" t="n">
        <v>1015</v>
      </c>
      <c r="H200" s="0" t="s">
        <v>10</v>
      </c>
      <c r="I200" s="3" t="n">
        <v>19.7</v>
      </c>
    </row>
    <row r="201" customFormat="false" ht="15" hidden="false" customHeight="false" outlineLevel="0" collapsed="false">
      <c r="A201" s="0" t="n">
        <v>200</v>
      </c>
      <c r="B201" s="2" t="n">
        <v>45961.2777777778</v>
      </c>
      <c r="C201" s="0" t="s">
        <v>9</v>
      </c>
      <c r="D201" s="3" t="n">
        <v>19.1</v>
      </c>
      <c r="E201" s="3" t="n">
        <v>18.6</v>
      </c>
      <c r="F201" s="4" t="n">
        <v>82</v>
      </c>
      <c r="G201" s="4" t="n">
        <v>1009</v>
      </c>
      <c r="H201" s="0" t="s">
        <v>12</v>
      </c>
      <c r="I201" s="3" t="n">
        <v>15.7</v>
      </c>
    </row>
    <row r="202" customFormat="false" ht="15" hidden="false" customHeight="false" outlineLevel="0" collapsed="false">
      <c r="A202" s="0" t="n">
        <v>201</v>
      </c>
      <c r="B202" s="2" t="n">
        <v>45962.5</v>
      </c>
      <c r="C202" s="0" t="s">
        <v>9</v>
      </c>
      <c r="D202" s="3" t="n">
        <v>17.7</v>
      </c>
      <c r="E202" s="3" t="n">
        <v>18.6</v>
      </c>
      <c r="F202" s="4" t="n">
        <v>76</v>
      </c>
      <c r="G202" s="4" t="n">
        <v>1017</v>
      </c>
      <c r="H202" s="0" t="s">
        <v>10</v>
      </c>
      <c r="I202" s="3" t="n">
        <v>13.7</v>
      </c>
    </row>
    <row r="203" customFormat="false" ht="15" hidden="false" customHeight="false" outlineLevel="0" collapsed="false">
      <c r="A203" s="0" t="n">
        <v>202</v>
      </c>
      <c r="B203" s="2" t="n">
        <v>45963.5763888889</v>
      </c>
      <c r="C203" s="0" t="s">
        <v>9</v>
      </c>
      <c r="D203" s="3" t="n">
        <v>14.9</v>
      </c>
      <c r="E203" s="3" t="n">
        <v>14.5</v>
      </c>
      <c r="F203" s="4" t="n">
        <v>70</v>
      </c>
      <c r="G203" s="4" t="n">
        <v>1012</v>
      </c>
      <c r="H203" s="0" t="s">
        <v>10</v>
      </c>
      <c r="I203" s="3" t="n">
        <v>15</v>
      </c>
    </row>
    <row r="204" customFormat="false" ht="15" hidden="false" customHeight="false" outlineLevel="0" collapsed="false">
      <c r="A204" s="0" t="n">
        <v>203</v>
      </c>
      <c r="B204" s="2" t="n">
        <v>45964.8125</v>
      </c>
      <c r="C204" s="0" t="s">
        <v>9</v>
      </c>
      <c r="D204" s="3" t="n">
        <v>23.4</v>
      </c>
      <c r="E204" s="3" t="n">
        <v>24.1</v>
      </c>
      <c r="F204" s="4" t="n">
        <v>67</v>
      </c>
      <c r="G204" s="4" t="n">
        <v>1021</v>
      </c>
      <c r="H204" s="0" t="s">
        <v>10</v>
      </c>
      <c r="I204" s="3" t="n">
        <v>20.5</v>
      </c>
    </row>
    <row r="205" customFormat="false" ht="15" hidden="false" customHeight="false" outlineLevel="0" collapsed="false">
      <c r="A205" s="0" t="n">
        <v>204</v>
      </c>
      <c r="B205" s="2" t="n">
        <v>45965.5763888889</v>
      </c>
      <c r="C205" s="0" t="s">
        <v>9</v>
      </c>
      <c r="D205" s="3" t="n">
        <v>17.3</v>
      </c>
      <c r="E205" s="3" t="n">
        <v>16.9</v>
      </c>
      <c r="F205" s="4" t="n">
        <v>70</v>
      </c>
      <c r="G205" s="4" t="n">
        <v>1016</v>
      </c>
      <c r="H205" s="0" t="s">
        <v>10</v>
      </c>
      <c r="I205" s="3" t="n">
        <v>16.1</v>
      </c>
    </row>
    <row r="206" customFormat="false" ht="15" hidden="false" customHeight="false" outlineLevel="0" collapsed="false">
      <c r="A206" s="0" t="n">
        <v>205</v>
      </c>
      <c r="B206" s="2" t="n">
        <v>45966.9097222222</v>
      </c>
      <c r="C206" s="0" t="s">
        <v>9</v>
      </c>
      <c r="D206" s="3" t="n">
        <v>21.9</v>
      </c>
      <c r="E206" s="3" t="n">
        <v>23.1</v>
      </c>
      <c r="F206" s="4" t="n">
        <v>62</v>
      </c>
      <c r="G206" s="4" t="n">
        <v>1012</v>
      </c>
      <c r="H206" s="0" t="s">
        <v>16</v>
      </c>
      <c r="I206" s="3" t="n">
        <v>15.5</v>
      </c>
    </row>
    <row r="207" customFormat="false" ht="15" hidden="false" customHeight="false" outlineLevel="0" collapsed="false">
      <c r="A207" s="0" t="n">
        <v>206</v>
      </c>
      <c r="B207" s="2" t="n">
        <v>45967.8958333333</v>
      </c>
      <c r="C207" s="0" t="s">
        <v>9</v>
      </c>
      <c r="D207" s="3" t="n">
        <v>19.5</v>
      </c>
      <c r="E207" s="3" t="n">
        <v>19.1</v>
      </c>
      <c r="F207" s="4" t="n">
        <v>74</v>
      </c>
      <c r="G207" s="4" t="n">
        <v>1010</v>
      </c>
      <c r="H207" s="0" t="s">
        <v>11</v>
      </c>
      <c r="I207" s="3" t="n">
        <v>27.1</v>
      </c>
    </row>
    <row r="208" customFormat="false" ht="15" hidden="false" customHeight="false" outlineLevel="0" collapsed="false">
      <c r="A208" s="0" t="n">
        <v>207</v>
      </c>
      <c r="B208" s="2" t="n">
        <v>45968.25</v>
      </c>
      <c r="C208" s="0" t="s">
        <v>9</v>
      </c>
      <c r="D208" s="3" t="n">
        <v>18.3</v>
      </c>
      <c r="E208" s="3" t="n">
        <v>17.2</v>
      </c>
      <c r="F208" s="4" t="n">
        <v>60</v>
      </c>
      <c r="G208" s="4" t="n">
        <v>1014</v>
      </c>
      <c r="H208" s="0" t="s">
        <v>10</v>
      </c>
      <c r="I208" s="3" t="n">
        <v>16.7</v>
      </c>
    </row>
    <row r="209" customFormat="false" ht="15" hidden="false" customHeight="false" outlineLevel="0" collapsed="false">
      <c r="A209" s="0" t="n">
        <v>208</v>
      </c>
      <c r="B209" s="2" t="n">
        <v>45970.6319444445</v>
      </c>
      <c r="C209" s="0" t="s">
        <v>9</v>
      </c>
      <c r="D209" s="3" t="n">
        <v>19.5</v>
      </c>
      <c r="E209" s="3" t="n">
        <v>20.5</v>
      </c>
      <c r="F209" s="4" t="n">
        <v>72</v>
      </c>
      <c r="G209" s="4" t="n">
        <v>1018</v>
      </c>
      <c r="H209" s="0" t="s">
        <v>10</v>
      </c>
      <c r="I209" s="3" t="n">
        <v>17.4</v>
      </c>
    </row>
    <row r="210" customFormat="false" ht="15" hidden="false" customHeight="false" outlineLevel="0" collapsed="false">
      <c r="A210" s="0" t="n">
        <v>209</v>
      </c>
      <c r="B210" s="2" t="n">
        <v>45971.7847222222</v>
      </c>
      <c r="C210" s="0" t="s">
        <v>9</v>
      </c>
      <c r="D210" s="3" t="n">
        <v>20.2</v>
      </c>
      <c r="E210" s="3" t="n">
        <v>20.4</v>
      </c>
      <c r="F210" s="4" t="n">
        <v>75</v>
      </c>
      <c r="G210" s="4" t="n">
        <v>1009</v>
      </c>
      <c r="H210" s="0" t="s">
        <v>15</v>
      </c>
      <c r="I210" s="3" t="n">
        <v>19.7</v>
      </c>
    </row>
    <row r="211" customFormat="false" ht="15" hidden="false" customHeight="false" outlineLevel="0" collapsed="false">
      <c r="A211" s="0" t="n">
        <v>210</v>
      </c>
      <c r="B211" s="2" t="n">
        <v>45972.5555555556</v>
      </c>
      <c r="C211" s="0" t="s">
        <v>9</v>
      </c>
      <c r="D211" s="3" t="n">
        <v>16</v>
      </c>
      <c r="E211" s="3" t="n">
        <v>16.3</v>
      </c>
      <c r="F211" s="4" t="n">
        <v>81</v>
      </c>
      <c r="G211" s="4" t="n">
        <v>1006</v>
      </c>
      <c r="H211" s="0" t="s">
        <v>13</v>
      </c>
      <c r="I211" s="3" t="n">
        <v>24.5</v>
      </c>
    </row>
    <row r="212" customFormat="false" ht="15" hidden="false" customHeight="false" outlineLevel="0" collapsed="false">
      <c r="A212" s="0" t="n">
        <v>211</v>
      </c>
      <c r="B212" s="2" t="n">
        <v>45973.7291666667</v>
      </c>
      <c r="C212" s="0" t="s">
        <v>9</v>
      </c>
      <c r="D212" s="3" t="n">
        <v>17.5</v>
      </c>
      <c r="E212" s="3" t="n">
        <v>17</v>
      </c>
      <c r="F212" s="4" t="n">
        <v>62</v>
      </c>
      <c r="G212" s="4" t="n">
        <v>1016</v>
      </c>
      <c r="H212" s="0" t="s">
        <v>10</v>
      </c>
      <c r="I212" s="3" t="n">
        <v>18.8</v>
      </c>
    </row>
    <row r="213" customFormat="false" ht="15" hidden="false" customHeight="false" outlineLevel="0" collapsed="false">
      <c r="A213" s="0" t="n">
        <v>212</v>
      </c>
      <c r="B213" s="2" t="n">
        <v>45974.7291666667</v>
      </c>
      <c r="C213" s="0" t="s">
        <v>9</v>
      </c>
      <c r="D213" s="3" t="n">
        <v>21.4</v>
      </c>
      <c r="E213" s="3" t="n">
        <v>20.4</v>
      </c>
      <c r="F213" s="4" t="n">
        <v>71</v>
      </c>
      <c r="G213" s="4" t="n">
        <v>1016</v>
      </c>
      <c r="H213" s="0" t="s">
        <v>16</v>
      </c>
      <c r="I213" s="3" t="n">
        <v>20.7</v>
      </c>
    </row>
    <row r="214" customFormat="false" ht="15" hidden="false" customHeight="false" outlineLevel="0" collapsed="false">
      <c r="A214" s="0" t="n">
        <v>213</v>
      </c>
      <c r="B214" s="2" t="n">
        <v>45975.6805555556</v>
      </c>
      <c r="C214" s="0" t="s">
        <v>9</v>
      </c>
      <c r="D214" s="3" t="n">
        <v>20.6</v>
      </c>
      <c r="E214" s="3" t="n">
        <v>20.1</v>
      </c>
      <c r="F214" s="4" t="n">
        <v>77</v>
      </c>
      <c r="G214" s="4" t="n">
        <v>1011</v>
      </c>
      <c r="H214" s="0" t="s">
        <v>14</v>
      </c>
      <c r="I214" s="3" t="n">
        <v>15.2</v>
      </c>
    </row>
    <row r="215" customFormat="false" ht="15" hidden="false" customHeight="false" outlineLevel="0" collapsed="false">
      <c r="A215" s="0" t="n">
        <v>214</v>
      </c>
      <c r="B215" s="2" t="n">
        <v>45976.8472222222</v>
      </c>
      <c r="C215" s="0" t="s">
        <v>9</v>
      </c>
      <c r="D215" s="3" t="n">
        <v>19</v>
      </c>
      <c r="E215" s="3" t="n">
        <v>18.1</v>
      </c>
      <c r="F215" s="4" t="n">
        <v>67</v>
      </c>
      <c r="G215" s="4" t="n">
        <v>1020</v>
      </c>
      <c r="H215" s="0" t="s">
        <v>15</v>
      </c>
      <c r="I215" s="3" t="n">
        <v>26</v>
      </c>
    </row>
    <row r="216" customFormat="false" ht="15" hidden="false" customHeight="false" outlineLevel="0" collapsed="false">
      <c r="A216" s="0" t="n">
        <v>215</v>
      </c>
      <c r="B216" s="2" t="n">
        <v>45977.6388888889</v>
      </c>
      <c r="C216" s="0" t="s">
        <v>9</v>
      </c>
      <c r="D216" s="3" t="n">
        <v>17.1</v>
      </c>
      <c r="E216" s="3" t="n">
        <v>18.1</v>
      </c>
      <c r="F216" s="4" t="n">
        <v>70</v>
      </c>
      <c r="G216" s="4" t="n">
        <v>1026</v>
      </c>
      <c r="H216" s="0" t="s">
        <v>10</v>
      </c>
      <c r="I216" s="3" t="n">
        <v>21.8</v>
      </c>
    </row>
    <row r="217" customFormat="false" ht="15" hidden="false" customHeight="false" outlineLevel="0" collapsed="false">
      <c r="A217" s="0" t="n">
        <v>216</v>
      </c>
      <c r="B217" s="2" t="n">
        <v>45978.5416666667</v>
      </c>
      <c r="C217" s="0" t="s">
        <v>9</v>
      </c>
      <c r="D217" s="3" t="n">
        <v>17.7</v>
      </c>
      <c r="E217" s="3" t="n">
        <v>18.8</v>
      </c>
      <c r="F217" s="4" t="n">
        <v>65</v>
      </c>
      <c r="G217" s="4" t="n">
        <v>1012</v>
      </c>
      <c r="H217" s="0" t="s">
        <v>15</v>
      </c>
      <c r="I217" s="3" t="n">
        <v>17.2</v>
      </c>
    </row>
    <row r="218" customFormat="false" ht="15" hidden="false" customHeight="false" outlineLevel="0" collapsed="false">
      <c r="A218" s="0" t="n">
        <v>217</v>
      </c>
      <c r="B218" s="2" t="n">
        <v>45979.5138888889</v>
      </c>
      <c r="C218" s="0" t="s">
        <v>9</v>
      </c>
      <c r="D218" s="3" t="n">
        <v>10.4</v>
      </c>
      <c r="E218" s="3" t="n">
        <v>8.9</v>
      </c>
      <c r="F218" s="4" t="n">
        <v>84</v>
      </c>
      <c r="G218" s="4" t="n">
        <v>1010</v>
      </c>
      <c r="H218" s="0" t="s">
        <v>11</v>
      </c>
      <c r="I218" s="3" t="n">
        <v>24.3</v>
      </c>
    </row>
    <row r="219" customFormat="false" ht="15" hidden="false" customHeight="false" outlineLevel="0" collapsed="false">
      <c r="A219" s="0" t="n">
        <v>218</v>
      </c>
      <c r="B219" s="2" t="n">
        <v>45980.4097222222</v>
      </c>
      <c r="C219" s="0" t="s">
        <v>9</v>
      </c>
      <c r="D219" s="3" t="n">
        <v>15.5</v>
      </c>
      <c r="E219" s="3" t="n">
        <v>15.6</v>
      </c>
      <c r="F219" s="4" t="n">
        <v>65</v>
      </c>
      <c r="G219" s="4" t="n">
        <v>1020</v>
      </c>
      <c r="H219" s="0" t="s">
        <v>10</v>
      </c>
      <c r="I219" s="3" t="n">
        <v>20.3</v>
      </c>
    </row>
    <row r="220" customFormat="false" ht="15" hidden="false" customHeight="false" outlineLevel="0" collapsed="false">
      <c r="A220" s="0" t="n">
        <v>219</v>
      </c>
      <c r="B220" s="2" t="n">
        <v>45981.4652777778</v>
      </c>
      <c r="C220" s="0" t="s">
        <v>9</v>
      </c>
      <c r="D220" s="3" t="n">
        <v>15.7</v>
      </c>
      <c r="E220" s="3" t="n">
        <v>16.2</v>
      </c>
      <c r="F220" s="4" t="n">
        <v>82</v>
      </c>
      <c r="G220" s="4" t="n">
        <v>1022</v>
      </c>
      <c r="H220" s="0" t="s">
        <v>10</v>
      </c>
      <c r="I220" s="3" t="n">
        <v>17.5</v>
      </c>
    </row>
    <row r="221" customFormat="false" ht="15" hidden="false" customHeight="false" outlineLevel="0" collapsed="false">
      <c r="A221" s="0" t="n">
        <v>220</v>
      </c>
      <c r="B221" s="2" t="n">
        <v>45982.5347222222</v>
      </c>
      <c r="C221" s="0" t="s">
        <v>9</v>
      </c>
      <c r="D221" s="3" t="n">
        <v>18</v>
      </c>
      <c r="E221" s="3" t="n">
        <v>18</v>
      </c>
      <c r="F221" s="4" t="n">
        <v>98</v>
      </c>
      <c r="G221" s="4" t="n">
        <v>1007</v>
      </c>
      <c r="H221" s="0" t="s">
        <v>15</v>
      </c>
      <c r="I221" s="3" t="n">
        <v>21.9</v>
      </c>
    </row>
    <row r="222" customFormat="false" ht="15" hidden="false" customHeight="false" outlineLevel="0" collapsed="false">
      <c r="A222" s="0" t="n">
        <v>221</v>
      </c>
      <c r="B222" s="2" t="n">
        <v>45983.8888888889</v>
      </c>
      <c r="C222" s="0" t="s">
        <v>9</v>
      </c>
      <c r="D222" s="3" t="n">
        <v>20</v>
      </c>
      <c r="E222" s="3" t="n">
        <v>20.2</v>
      </c>
      <c r="F222" s="4" t="n">
        <v>75</v>
      </c>
      <c r="G222" s="4" t="n">
        <v>1012</v>
      </c>
      <c r="H222" s="0" t="s">
        <v>12</v>
      </c>
      <c r="I222" s="3" t="n">
        <v>19.4</v>
      </c>
    </row>
    <row r="223" customFormat="false" ht="15" hidden="false" customHeight="false" outlineLevel="0" collapsed="false">
      <c r="A223" s="0" t="n">
        <v>222</v>
      </c>
      <c r="B223" s="2" t="n">
        <v>45984.625</v>
      </c>
      <c r="C223" s="0" t="s">
        <v>9</v>
      </c>
      <c r="D223" s="3" t="n">
        <v>15.6</v>
      </c>
      <c r="E223" s="3" t="n">
        <v>15.2</v>
      </c>
      <c r="F223" s="4" t="n">
        <v>68</v>
      </c>
      <c r="G223" s="4" t="n">
        <v>1013</v>
      </c>
      <c r="H223" s="0" t="s">
        <v>10</v>
      </c>
      <c r="I223" s="3" t="n">
        <v>16.5</v>
      </c>
    </row>
    <row r="224" customFormat="false" ht="15" hidden="false" customHeight="false" outlineLevel="0" collapsed="false">
      <c r="A224" s="0" t="n">
        <v>223</v>
      </c>
      <c r="B224" s="2" t="n">
        <v>45985.5138888889</v>
      </c>
      <c r="C224" s="0" t="s">
        <v>9</v>
      </c>
      <c r="D224" s="3" t="n">
        <v>16</v>
      </c>
      <c r="E224" s="3" t="n">
        <v>17.2</v>
      </c>
      <c r="F224" s="4" t="n">
        <v>63</v>
      </c>
      <c r="G224" s="4" t="n">
        <v>1016</v>
      </c>
      <c r="H224" s="0" t="s">
        <v>10</v>
      </c>
      <c r="I224" s="3" t="n">
        <v>18.3</v>
      </c>
    </row>
    <row r="225" customFormat="false" ht="15" hidden="false" customHeight="false" outlineLevel="0" collapsed="false">
      <c r="A225" s="0" t="n">
        <v>224</v>
      </c>
      <c r="B225" s="2" t="n">
        <v>45986.5555555556</v>
      </c>
      <c r="C225" s="0" t="s">
        <v>9</v>
      </c>
      <c r="D225" s="3" t="n">
        <v>11.2</v>
      </c>
      <c r="E225" s="3" t="n">
        <v>9.1</v>
      </c>
      <c r="F225" s="4" t="n">
        <v>80</v>
      </c>
      <c r="G225" s="4" t="n">
        <v>1008</v>
      </c>
      <c r="H225" s="0" t="s">
        <v>18</v>
      </c>
      <c r="I225" s="3" t="n">
        <v>32.1</v>
      </c>
    </row>
    <row r="226" customFormat="false" ht="15" hidden="false" customHeight="false" outlineLevel="0" collapsed="false">
      <c r="A226" s="0" t="n">
        <v>225</v>
      </c>
      <c r="B226" s="2" t="n">
        <v>45987.4722222222</v>
      </c>
      <c r="C226" s="0" t="s">
        <v>9</v>
      </c>
      <c r="D226" s="3" t="n">
        <v>13.9</v>
      </c>
      <c r="E226" s="3" t="n">
        <v>14.3</v>
      </c>
      <c r="F226" s="4" t="n">
        <v>60</v>
      </c>
      <c r="G226" s="4" t="n">
        <v>1018</v>
      </c>
      <c r="H226" s="0" t="s">
        <v>10</v>
      </c>
      <c r="I226" s="3" t="n">
        <v>20.6</v>
      </c>
    </row>
    <row r="227" customFormat="false" ht="15" hidden="false" customHeight="false" outlineLevel="0" collapsed="false">
      <c r="A227" s="0" t="n">
        <v>226</v>
      </c>
      <c r="B227" s="2" t="n">
        <v>45988.2847222222</v>
      </c>
      <c r="C227" s="0" t="s">
        <v>9</v>
      </c>
      <c r="D227" s="3" t="n">
        <v>17.8</v>
      </c>
      <c r="E227" s="3" t="n">
        <v>17</v>
      </c>
      <c r="F227" s="4" t="n">
        <v>82</v>
      </c>
      <c r="G227" s="4" t="n">
        <v>1015</v>
      </c>
      <c r="H227" s="0" t="s">
        <v>16</v>
      </c>
      <c r="I227" s="3" t="n">
        <v>15</v>
      </c>
    </row>
    <row r="228" customFormat="false" ht="15" hidden="false" customHeight="false" outlineLevel="0" collapsed="false">
      <c r="A228" s="0" t="n">
        <v>227</v>
      </c>
      <c r="B228" s="2" t="n">
        <v>45989.4305555556</v>
      </c>
      <c r="C228" s="0" t="s">
        <v>9</v>
      </c>
      <c r="D228" s="3" t="n">
        <v>13</v>
      </c>
      <c r="E228" s="3" t="n">
        <v>12.1</v>
      </c>
      <c r="F228" s="4" t="n">
        <v>64</v>
      </c>
      <c r="G228" s="4" t="n">
        <v>1016</v>
      </c>
      <c r="H228" s="0" t="s">
        <v>10</v>
      </c>
      <c r="I228" s="3" t="n">
        <v>25</v>
      </c>
    </row>
    <row r="229" customFormat="false" ht="15" hidden="false" customHeight="false" outlineLevel="0" collapsed="false">
      <c r="A229" s="0" t="n">
        <v>228</v>
      </c>
      <c r="B229" s="2" t="n">
        <v>45990.2916666667</v>
      </c>
      <c r="C229" s="0" t="s">
        <v>9</v>
      </c>
      <c r="D229" s="3" t="n">
        <v>12.9</v>
      </c>
      <c r="E229" s="3" t="n">
        <v>13.3</v>
      </c>
      <c r="F229" s="4" t="n">
        <v>92</v>
      </c>
      <c r="G229" s="4" t="n">
        <v>1010</v>
      </c>
      <c r="H229" s="0" t="s">
        <v>13</v>
      </c>
      <c r="I229" s="3" t="n">
        <v>19.9</v>
      </c>
    </row>
    <row r="230" customFormat="false" ht="15" hidden="false" customHeight="false" outlineLevel="0" collapsed="false">
      <c r="A230" s="0" t="n">
        <v>229</v>
      </c>
      <c r="B230" s="2" t="n">
        <v>45991.6597222222</v>
      </c>
      <c r="C230" s="0" t="s">
        <v>9</v>
      </c>
      <c r="D230" s="3" t="n">
        <v>18.1</v>
      </c>
      <c r="E230" s="3" t="n">
        <v>19.2</v>
      </c>
      <c r="F230" s="4" t="n">
        <v>68</v>
      </c>
      <c r="G230" s="4" t="n">
        <v>1016</v>
      </c>
      <c r="H230" s="0" t="s">
        <v>14</v>
      </c>
      <c r="I230" s="3" t="n">
        <v>18.1</v>
      </c>
    </row>
    <row r="231" customFormat="false" ht="15" hidden="false" customHeight="false" outlineLevel="0" collapsed="false">
      <c r="A231" s="0" t="n">
        <v>230</v>
      </c>
      <c r="B231" s="2" t="n">
        <v>45992.4513888889</v>
      </c>
      <c r="C231" s="0" t="s">
        <v>9</v>
      </c>
      <c r="D231" s="3" t="n">
        <v>13</v>
      </c>
      <c r="E231" s="3" t="n">
        <v>13</v>
      </c>
      <c r="F231" s="4" t="n">
        <v>79</v>
      </c>
      <c r="G231" s="4" t="n">
        <v>1028</v>
      </c>
      <c r="H231" s="0" t="s">
        <v>10</v>
      </c>
      <c r="I231" s="3" t="n">
        <v>26.5</v>
      </c>
    </row>
    <row r="232" customFormat="false" ht="15" hidden="false" customHeight="false" outlineLevel="0" collapsed="false">
      <c r="A232" s="0" t="n">
        <v>231</v>
      </c>
      <c r="B232" s="2" t="n">
        <v>45993.875</v>
      </c>
      <c r="C232" s="0" t="s">
        <v>9</v>
      </c>
      <c r="D232" s="3" t="n">
        <v>15.8</v>
      </c>
      <c r="E232" s="3" t="n">
        <v>16</v>
      </c>
      <c r="F232" s="4" t="n">
        <v>77</v>
      </c>
      <c r="G232" s="4" t="n">
        <v>1021</v>
      </c>
      <c r="H232" s="0" t="s">
        <v>16</v>
      </c>
      <c r="I232" s="3" t="n">
        <v>19.8</v>
      </c>
    </row>
    <row r="233" customFormat="false" ht="15" hidden="false" customHeight="false" outlineLevel="0" collapsed="false">
      <c r="A233" s="0" t="n">
        <v>232</v>
      </c>
      <c r="B233" s="2" t="n">
        <v>45994.2777777778</v>
      </c>
      <c r="C233" s="0" t="s">
        <v>9</v>
      </c>
      <c r="D233" s="3" t="n">
        <v>9.6</v>
      </c>
      <c r="E233" s="3" t="n">
        <v>10.7</v>
      </c>
      <c r="F233" s="4" t="n">
        <v>70</v>
      </c>
      <c r="G233" s="4" t="n">
        <v>1012</v>
      </c>
      <c r="H233" s="0" t="s">
        <v>10</v>
      </c>
      <c r="I233" s="3" t="n">
        <v>17.8</v>
      </c>
    </row>
    <row r="234" customFormat="false" ht="15" hidden="false" customHeight="false" outlineLevel="0" collapsed="false">
      <c r="A234" s="0" t="n">
        <v>233</v>
      </c>
      <c r="B234" s="2" t="n">
        <v>45995.6458333333</v>
      </c>
      <c r="C234" s="0" t="s">
        <v>9</v>
      </c>
      <c r="D234" s="3" t="n">
        <v>18.9</v>
      </c>
      <c r="E234" s="3" t="n">
        <v>19.2</v>
      </c>
      <c r="F234" s="4" t="n">
        <v>95</v>
      </c>
      <c r="G234" s="4" t="n">
        <v>1008</v>
      </c>
      <c r="H234" s="0" t="s">
        <v>15</v>
      </c>
      <c r="I234" s="3" t="n">
        <v>21.9</v>
      </c>
    </row>
    <row r="235" customFormat="false" ht="15" hidden="false" customHeight="false" outlineLevel="0" collapsed="false">
      <c r="A235" s="0" t="n">
        <v>234</v>
      </c>
      <c r="B235" s="2" t="n">
        <v>45996.8958333333</v>
      </c>
      <c r="C235" s="0" t="s">
        <v>9</v>
      </c>
      <c r="D235" s="3" t="n">
        <v>16.6</v>
      </c>
      <c r="E235" s="3" t="n">
        <v>17.1</v>
      </c>
      <c r="F235" s="4" t="n">
        <v>70</v>
      </c>
      <c r="G235" s="4" t="n">
        <v>1014</v>
      </c>
      <c r="H235" s="0" t="s">
        <v>10</v>
      </c>
      <c r="I235" s="3" t="n">
        <v>20.1</v>
      </c>
    </row>
    <row r="236" customFormat="false" ht="15" hidden="false" customHeight="false" outlineLevel="0" collapsed="false">
      <c r="A236" s="0" t="n">
        <v>235</v>
      </c>
      <c r="B236" s="2" t="n">
        <v>45997.6736111111</v>
      </c>
      <c r="C236" s="0" t="s">
        <v>9</v>
      </c>
      <c r="D236" s="3" t="n">
        <v>18.7</v>
      </c>
      <c r="E236" s="3" t="n">
        <v>19.6</v>
      </c>
      <c r="F236" s="4" t="n">
        <v>80</v>
      </c>
      <c r="G236" s="4" t="n">
        <v>1023</v>
      </c>
      <c r="H236" s="0" t="s">
        <v>10</v>
      </c>
      <c r="I236" s="3" t="n">
        <v>16.8</v>
      </c>
    </row>
    <row r="237" customFormat="false" ht="15" hidden="false" customHeight="false" outlineLevel="0" collapsed="false">
      <c r="A237" s="0" t="n">
        <v>236</v>
      </c>
      <c r="B237" s="2" t="n">
        <v>45999.3055555556</v>
      </c>
      <c r="C237" s="0" t="s">
        <v>9</v>
      </c>
      <c r="D237" s="3" t="n">
        <v>11.2</v>
      </c>
      <c r="E237" s="3" t="n">
        <v>11.4</v>
      </c>
      <c r="F237" s="4" t="n">
        <v>73</v>
      </c>
      <c r="G237" s="4" t="n">
        <v>1019</v>
      </c>
      <c r="H237" s="0" t="s">
        <v>10</v>
      </c>
      <c r="I237" s="3" t="n">
        <v>16.7</v>
      </c>
    </row>
    <row r="238" customFormat="false" ht="15" hidden="false" customHeight="false" outlineLevel="0" collapsed="false">
      <c r="A238" s="0" t="n">
        <v>237</v>
      </c>
      <c r="B238" s="2" t="n">
        <v>46000.875</v>
      </c>
      <c r="C238" s="0" t="s">
        <v>9</v>
      </c>
      <c r="D238" s="3" t="n">
        <v>13.5</v>
      </c>
      <c r="E238" s="3" t="n">
        <v>14.2</v>
      </c>
      <c r="F238" s="4" t="n">
        <v>84</v>
      </c>
      <c r="G238" s="4" t="n">
        <v>1023</v>
      </c>
      <c r="H238" s="0" t="s">
        <v>13</v>
      </c>
      <c r="I238" s="3" t="n">
        <v>23.6</v>
      </c>
    </row>
    <row r="239" customFormat="false" ht="15" hidden="false" customHeight="false" outlineLevel="0" collapsed="false">
      <c r="A239" s="0" t="n">
        <v>238</v>
      </c>
      <c r="B239" s="2" t="n">
        <v>46001.3541666667</v>
      </c>
      <c r="C239" s="0" t="s">
        <v>9</v>
      </c>
      <c r="D239" s="3" t="n">
        <v>11.8</v>
      </c>
      <c r="E239" s="3" t="n">
        <v>9.7</v>
      </c>
      <c r="F239" s="4" t="n">
        <v>99</v>
      </c>
      <c r="G239" s="4" t="n">
        <v>1013</v>
      </c>
      <c r="H239" s="0" t="s">
        <v>18</v>
      </c>
      <c r="I239" s="3" t="n">
        <v>29.7</v>
      </c>
    </row>
    <row r="240" customFormat="false" ht="15" hidden="false" customHeight="false" outlineLevel="0" collapsed="false">
      <c r="A240" s="0" t="n">
        <v>239</v>
      </c>
      <c r="B240" s="2" t="n">
        <v>46002.875</v>
      </c>
      <c r="C240" s="0" t="s">
        <v>9</v>
      </c>
      <c r="D240" s="3" t="n">
        <v>15.7</v>
      </c>
      <c r="E240" s="3" t="n">
        <v>15.2</v>
      </c>
      <c r="F240" s="4" t="n">
        <v>70</v>
      </c>
      <c r="G240" s="4" t="n">
        <v>1017</v>
      </c>
      <c r="H240" s="0" t="s">
        <v>14</v>
      </c>
      <c r="I240" s="3" t="n">
        <v>16.9</v>
      </c>
    </row>
    <row r="241" customFormat="false" ht="15" hidden="false" customHeight="false" outlineLevel="0" collapsed="false">
      <c r="A241" s="0" t="n">
        <v>240</v>
      </c>
      <c r="B241" s="2" t="n">
        <v>46003.2986111111</v>
      </c>
      <c r="C241" s="0" t="s">
        <v>9</v>
      </c>
      <c r="D241" s="3" t="n">
        <v>12.5</v>
      </c>
      <c r="E241" s="3" t="n">
        <v>12</v>
      </c>
      <c r="F241" s="4" t="n">
        <v>70</v>
      </c>
      <c r="G241" s="4" t="n">
        <v>1016</v>
      </c>
      <c r="H241" s="0" t="s">
        <v>10</v>
      </c>
      <c r="I241" s="3" t="n">
        <v>21.7</v>
      </c>
    </row>
    <row r="242" customFormat="false" ht="15" hidden="false" customHeight="false" outlineLevel="0" collapsed="false">
      <c r="A242" s="0" t="n">
        <v>241</v>
      </c>
      <c r="B242" s="2" t="n">
        <v>46004.4444444445</v>
      </c>
      <c r="C242" s="0" t="s">
        <v>9</v>
      </c>
      <c r="D242" s="3" t="n">
        <v>11.6</v>
      </c>
      <c r="E242" s="3" t="n">
        <v>10.3</v>
      </c>
      <c r="F242" s="4" t="n">
        <v>76</v>
      </c>
      <c r="G242" s="4" t="n">
        <v>1011</v>
      </c>
      <c r="H242" s="0" t="s">
        <v>17</v>
      </c>
      <c r="I242" s="3" t="n">
        <v>20.1</v>
      </c>
    </row>
    <row r="243" customFormat="false" ht="15" hidden="false" customHeight="false" outlineLevel="0" collapsed="false">
      <c r="A243" s="0" t="n">
        <v>242</v>
      </c>
      <c r="B243" s="2" t="n">
        <v>46005.625</v>
      </c>
      <c r="C243" s="0" t="s">
        <v>9</v>
      </c>
      <c r="D243" s="3" t="n">
        <v>14.1</v>
      </c>
      <c r="E243" s="3" t="n">
        <v>15.2</v>
      </c>
      <c r="F243" s="4" t="n">
        <v>86</v>
      </c>
      <c r="G243" s="4" t="n">
        <v>1025</v>
      </c>
      <c r="H243" s="0" t="s">
        <v>17</v>
      </c>
      <c r="I243" s="3" t="n">
        <v>29.1</v>
      </c>
    </row>
    <row r="244" customFormat="false" ht="15" hidden="false" customHeight="false" outlineLevel="0" collapsed="false">
      <c r="A244" s="0" t="n">
        <v>243</v>
      </c>
      <c r="B244" s="2" t="n">
        <v>46006.5416666667</v>
      </c>
      <c r="C244" s="0" t="s">
        <v>9</v>
      </c>
      <c r="D244" s="3" t="n">
        <v>15.2</v>
      </c>
      <c r="E244" s="3" t="n">
        <v>15.4</v>
      </c>
      <c r="F244" s="4" t="n">
        <v>80</v>
      </c>
      <c r="G244" s="4" t="n">
        <v>1013</v>
      </c>
      <c r="H244" s="0" t="s">
        <v>16</v>
      </c>
      <c r="I244" s="3" t="n">
        <v>16.5</v>
      </c>
    </row>
    <row r="245" customFormat="false" ht="15" hidden="false" customHeight="false" outlineLevel="0" collapsed="false">
      <c r="A245" s="0" t="n">
        <v>244</v>
      </c>
      <c r="B245" s="2" t="n">
        <v>46007.8194444445</v>
      </c>
      <c r="C245" s="0" t="s">
        <v>9</v>
      </c>
      <c r="D245" s="3" t="n">
        <v>15.4</v>
      </c>
      <c r="E245" s="3" t="n">
        <v>15.8</v>
      </c>
      <c r="F245" s="4" t="n">
        <v>70</v>
      </c>
      <c r="G245" s="4" t="n">
        <v>1015</v>
      </c>
      <c r="H245" s="0" t="s">
        <v>10</v>
      </c>
      <c r="I245" s="3" t="n">
        <v>17.8</v>
      </c>
    </row>
    <row r="246" customFormat="false" ht="15" hidden="false" customHeight="false" outlineLevel="0" collapsed="false">
      <c r="A246" s="0" t="n">
        <v>245</v>
      </c>
      <c r="B246" s="2" t="n">
        <v>46008.5694444445</v>
      </c>
      <c r="C246" s="0" t="s">
        <v>9</v>
      </c>
      <c r="D246" s="3" t="n">
        <v>16.5</v>
      </c>
      <c r="E246" s="3" t="n">
        <v>15.8</v>
      </c>
      <c r="F246" s="4" t="n">
        <v>64</v>
      </c>
      <c r="G246" s="4" t="n">
        <v>1018</v>
      </c>
      <c r="H246" s="0" t="s">
        <v>10</v>
      </c>
      <c r="I246" s="3" t="n">
        <v>22.5</v>
      </c>
    </row>
    <row r="247" customFormat="false" ht="15" hidden="false" customHeight="false" outlineLevel="0" collapsed="false">
      <c r="A247" s="0" t="n">
        <v>246</v>
      </c>
      <c r="B247" s="2" t="n">
        <v>46009.7708333333</v>
      </c>
      <c r="C247" s="0" t="s">
        <v>9</v>
      </c>
      <c r="D247" s="3" t="n">
        <v>17</v>
      </c>
      <c r="E247" s="3" t="n">
        <v>17.6</v>
      </c>
      <c r="F247" s="4" t="n">
        <v>84</v>
      </c>
      <c r="G247" s="4" t="n">
        <v>1001</v>
      </c>
      <c r="H247" s="0" t="s">
        <v>15</v>
      </c>
      <c r="I247" s="3" t="n">
        <v>25.9</v>
      </c>
    </row>
    <row r="248" customFormat="false" ht="15" hidden="false" customHeight="false" outlineLevel="0" collapsed="false">
      <c r="A248" s="0" t="n">
        <v>247</v>
      </c>
      <c r="B248" s="2" t="n">
        <v>46010.8472222222</v>
      </c>
      <c r="C248" s="0" t="s">
        <v>9</v>
      </c>
      <c r="D248" s="3" t="n">
        <v>15.4</v>
      </c>
      <c r="E248" s="3" t="n">
        <v>15.1</v>
      </c>
      <c r="F248" s="4" t="n">
        <v>68</v>
      </c>
      <c r="G248" s="4" t="n">
        <v>1017</v>
      </c>
      <c r="H248" s="0" t="s">
        <v>14</v>
      </c>
      <c r="I248" s="3" t="n">
        <v>21.1</v>
      </c>
    </row>
    <row r="249" customFormat="false" ht="15" hidden="false" customHeight="false" outlineLevel="0" collapsed="false">
      <c r="A249" s="0" t="n">
        <v>248</v>
      </c>
      <c r="B249" s="2" t="n">
        <v>46011.8055555556</v>
      </c>
      <c r="C249" s="0" t="s">
        <v>9</v>
      </c>
      <c r="D249" s="3" t="n">
        <v>16.3</v>
      </c>
      <c r="E249" s="3" t="n">
        <v>16.7</v>
      </c>
      <c r="F249" s="4" t="n">
        <v>81</v>
      </c>
      <c r="G249" s="4" t="n">
        <v>1017</v>
      </c>
      <c r="H249" s="0" t="s">
        <v>13</v>
      </c>
      <c r="I249" s="3" t="n">
        <v>25.9</v>
      </c>
    </row>
    <row r="250" customFormat="false" ht="15" hidden="false" customHeight="false" outlineLevel="0" collapsed="false">
      <c r="A250" s="0" t="n">
        <v>249</v>
      </c>
      <c r="B250" s="2" t="n">
        <v>46012.3194444445</v>
      </c>
      <c r="C250" s="0" t="s">
        <v>9</v>
      </c>
      <c r="D250" s="3" t="n">
        <v>9.7</v>
      </c>
      <c r="E250" s="3" t="n">
        <v>8.4</v>
      </c>
      <c r="F250" s="4" t="n">
        <v>79</v>
      </c>
      <c r="G250" s="4" t="n">
        <v>1017</v>
      </c>
      <c r="H250" s="0" t="s">
        <v>11</v>
      </c>
      <c r="I250" s="3" t="n">
        <v>25.1</v>
      </c>
    </row>
    <row r="251" customFormat="false" ht="15" hidden="false" customHeight="false" outlineLevel="0" collapsed="false">
      <c r="A251" s="0" t="n">
        <v>250</v>
      </c>
      <c r="B251" s="2" t="n">
        <v>46013.3819444445</v>
      </c>
      <c r="C251" s="0" t="s">
        <v>9</v>
      </c>
      <c r="D251" s="3" t="n">
        <v>10.6</v>
      </c>
      <c r="E251" s="3" t="n">
        <v>11.8</v>
      </c>
      <c r="F251" s="4" t="n">
        <v>87</v>
      </c>
      <c r="G251" s="4" t="n">
        <v>1014</v>
      </c>
      <c r="H251" s="0" t="s">
        <v>13</v>
      </c>
      <c r="I251" s="3" t="n">
        <v>15.7</v>
      </c>
    </row>
    <row r="252" customFormat="false" ht="15" hidden="false" customHeight="false" outlineLevel="0" collapsed="false">
      <c r="A252" s="0" t="n">
        <v>251</v>
      </c>
      <c r="B252" s="2" t="n">
        <v>46014.5138888889</v>
      </c>
      <c r="C252" s="0" t="s">
        <v>9</v>
      </c>
      <c r="D252" s="3" t="n">
        <v>12.8</v>
      </c>
      <c r="E252" s="3" t="n">
        <v>13.4</v>
      </c>
      <c r="F252" s="4" t="n">
        <v>80</v>
      </c>
      <c r="G252" s="4" t="n">
        <v>1017</v>
      </c>
      <c r="H252" s="0" t="s">
        <v>12</v>
      </c>
      <c r="I252" s="3" t="n">
        <v>16.1</v>
      </c>
    </row>
    <row r="253" customFormat="false" ht="15" hidden="false" customHeight="false" outlineLevel="0" collapsed="false">
      <c r="A253" s="0" t="n">
        <v>252</v>
      </c>
      <c r="B253" s="2" t="n">
        <v>46015.3402777778</v>
      </c>
      <c r="C253" s="0" t="s">
        <v>9</v>
      </c>
      <c r="D253" s="3" t="n">
        <v>11.3</v>
      </c>
      <c r="E253" s="3" t="n">
        <v>11</v>
      </c>
      <c r="F253" s="4" t="n">
        <v>55</v>
      </c>
      <c r="G253" s="4" t="n">
        <v>1017</v>
      </c>
      <c r="H253" s="0" t="s">
        <v>10</v>
      </c>
      <c r="I253" s="3" t="n">
        <v>19.3</v>
      </c>
    </row>
    <row r="254" customFormat="false" ht="15" hidden="false" customHeight="false" outlineLevel="0" collapsed="false">
      <c r="A254" s="0" t="n">
        <v>253</v>
      </c>
      <c r="B254" s="2" t="n">
        <v>46016.5486111111</v>
      </c>
      <c r="C254" s="0" t="s">
        <v>9</v>
      </c>
      <c r="D254" s="3" t="n">
        <v>10.9</v>
      </c>
      <c r="E254" s="3" t="n">
        <v>9.5</v>
      </c>
      <c r="F254" s="4" t="n">
        <v>89</v>
      </c>
      <c r="G254" s="4" t="n">
        <v>1014</v>
      </c>
      <c r="H254" s="0" t="s">
        <v>14</v>
      </c>
      <c r="I254" s="3" t="n">
        <v>20.4</v>
      </c>
    </row>
    <row r="255" customFormat="false" ht="15" hidden="false" customHeight="false" outlineLevel="0" collapsed="false">
      <c r="A255" s="0" t="n">
        <v>254</v>
      </c>
      <c r="B255" s="2" t="n">
        <v>46017.3402777778</v>
      </c>
      <c r="C255" s="0" t="s">
        <v>9</v>
      </c>
      <c r="D255" s="3" t="n">
        <v>10.9</v>
      </c>
      <c r="E255" s="3" t="n">
        <v>10.3</v>
      </c>
      <c r="F255" s="4" t="n">
        <v>98</v>
      </c>
      <c r="G255" s="4" t="n">
        <v>1006</v>
      </c>
      <c r="H255" s="0" t="s">
        <v>13</v>
      </c>
      <c r="I255" s="3" t="n">
        <v>18.1</v>
      </c>
    </row>
    <row r="256" customFormat="false" ht="15" hidden="false" customHeight="false" outlineLevel="0" collapsed="false">
      <c r="A256" s="0" t="n">
        <v>255</v>
      </c>
      <c r="B256" s="2" t="n">
        <v>46018.2708333333</v>
      </c>
      <c r="C256" s="0" t="s">
        <v>9</v>
      </c>
      <c r="D256" s="3" t="n">
        <v>9.1</v>
      </c>
      <c r="E256" s="3" t="n">
        <v>8.4</v>
      </c>
      <c r="F256" s="4" t="n">
        <v>95</v>
      </c>
      <c r="G256" s="4" t="n">
        <v>1014</v>
      </c>
      <c r="H256" s="0" t="s">
        <v>13</v>
      </c>
      <c r="I256" s="3" t="n">
        <v>20.9</v>
      </c>
    </row>
    <row r="257" customFormat="false" ht="15" hidden="false" customHeight="false" outlineLevel="0" collapsed="false">
      <c r="A257" s="0" t="n">
        <v>256</v>
      </c>
      <c r="B257" s="2" t="n">
        <v>46019.8680555556</v>
      </c>
      <c r="C257" s="0" t="s">
        <v>9</v>
      </c>
      <c r="D257" s="3" t="n">
        <v>12.3</v>
      </c>
      <c r="E257" s="3" t="n">
        <v>13.2</v>
      </c>
      <c r="F257" s="4" t="n">
        <v>93</v>
      </c>
      <c r="G257" s="4" t="n">
        <v>1015</v>
      </c>
      <c r="H257" s="0" t="s">
        <v>13</v>
      </c>
      <c r="I257" s="3" t="n">
        <v>16.3</v>
      </c>
    </row>
    <row r="258" customFormat="false" ht="15" hidden="false" customHeight="false" outlineLevel="0" collapsed="false">
      <c r="A258" s="0" t="n">
        <v>257</v>
      </c>
      <c r="B258" s="2" t="n">
        <v>46020.8888888889</v>
      </c>
      <c r="C258" s="0" t="s">
        <v>9</v>
      </c>
      <c r="D258" s="3" t="n">
        <v>15.6</v>
      </c>
      <c r="E258" s="3" t="n">
        <v>16.8</v>
      </c>
      <c r="F258" s="4" t="n">
        <v>75</v>
      </c>
      <c r="G258" s="4" t="n">
        <v>1013</v>
      </c>
      <c r="H258" s="0" t="s">
        <v>10</v>
      </c>
      <c r="I258" s="3" t="n">
        <v>18.1</v>
      </c>
    </row>
    <row r="259" customFormat="false" ht="15" hidden="false" customHeight="false" outlineLevel="0" collapsed="false">
      <c r="A259" s="0" t="n">
        <v>258</v>
      </c>
      <c r="B259" s="2" t="n">
        <v>46021.2986111111</v>
      </c>
      <c r="C259" s="0" t="s">
        <v>9</v>
      </c>
      <c r="D259" s="3" t="n">
        <v>10.9</v>
      </c>
      <c r="E259" s="3" t="n">
        <v>10.5</v>
      </c>
      <c r="F259" s="4" t="n">
        <v>96</v>
      </c>
      <c r="G259" s="4" t="n">
        <v>1012</v>
      </c>
      <c r="H259" s="0" t="s">
        <v>14</v>
      </c>
      <c r="I259" s="3" t="n">
        <v>18.8</v>
      </c>
    </row>
    <row r="260" customFormat="false" ht="15" hidden="false" customHeight="false" outlineLevel="0" collapsed="false">
      <c r="A260" s="0" t="n">
        <v>259</v>
      </c>
      <c r="B260" s="2" t="n">
        <v>46022.6597222222</v>
      </c>
      <c r="C260" s="0" t="s">
        <v>9</v>
      </c>
      <c r="D260" s="3" t="n">
        <v>13.9</v>
      </c>
      <c r="E260" s="3" t="n">
        <v>14.2</v>
      </c>
      <c r="F260" s="4" t="n">
        <v>99</v>
      </c>
      <c r="G260" s="4" t="n">
        <v>1022</v>
      </c>
      <c r="H260" s="0" t="s">
        <v>19</v>
      </c>
      <c r="I260" s="3" t="n">
        <v>14.6</v>
      </c>
    </row>
    <row r="261" customFormat="false" ht="15" hidden="false" customHeight="false" outlineLevel="0" collapsed="false">
      <c r="A261" s="0" t="n">
        <v>260</v>
      </c>
      <c r="B261" s="2" t="n">
        <v>46023.6597222222</v>
      </c>
      <c r="C261" s="0" t="s">
        <v>9</v>
      </c>
      <c r="D261" s="3" t="n">
        <v>12.5</v>
      </c>
      <c r="E261" s="3" t="n">
        <v>12.9</v>
      </c>
      <c r="F261" s="4" t="n">
        <v>84</v>
      </c>
      <c r="G261" s="4" t="n">
        <v>1011</v>
      </c>
      <c r="H261" s="0" t="s">
        <v>11</v>
      </c>
      <c r="I261" s="3" t="n">
        <v>25.2</v>
      </c>
    </row>
    <row r="262" customFormat="false" ht="15" hidden="false" customHeight="false" outlineLevel="0" collapsed="false">
      <c r="A262" s="0" t="n">
        <v>261</v>
      </c>
      <c r="B262" s="2" t="n">
        <v>46024.8333333333</v>
      </c>
      <c r="C262" s="0" t="s">
        <v>9</v>
      </c>
      <c r="D262" s="3" t="n">
        <v>13.2</v>
      </c>
      <c r="E262" s="3" t="n">
        <v>14.2</v>
      </c>
      <c r="F262" s="4" t="n">
        <v>89</v>
      </c>
      <c r="G262" s="4" t="n">
        <v>1016</v>
      </c>
      <c r="H262" s="0" t="s">
        <v>13</v>
      </c>
      <c r="I262" s="3" t="n">
        <v>21.9</v>
      </c>
    </row>
    <row r="263" customFormat="false" ht="15" hidden="false" customHeight="false" outlineLevel="0" collapsed="false">
      <c r="A263" s="0" t="n">
        <v>262</v>
      </c>
      <c r="B263" s="2" t="n">
        <v>46025.5555555556</v>
      </c>
      <c r="C263" s="0" t="s">
        <v>9</v>
      </c>
      <c r="D263" s="3" t="n">
        <v>8</v>
      </c>
      <c r="E263" s="3" t="n">
        <v>7.3</v>
      </c>
      <c r="F263" s="4" t="n">
        <v>74</v>
      </c>
      <c r="G263" s="4" t="n">
        <v>1015</v>
      </c>
      <c r="H263" s="0" t="s">
        <v>16</v>
      </c>
      <c r="I263" s="3" t="n">
        <v>16.4</v>
      </c>
    </row>
    <row r="264" customFormat="false" ht="15" hidden="false" customHeight="false" outlineLevel="0" collapsed="false">
      <c r="A264" s="0" t="n">
        <v>263</v>
      </c>
      <c r="B264" s="2" t="n">
        <v>46026.5208333333</v>
      </c>
      <c r="C264" s="0" t="s">
        <v>9</v>
      </c>
      <c r="D264" s="3" t="n">
        <v>9.1</v>
      </c>
      <c r="E264" s="3" t="n">
        <v>9.6</v>
      </c>
      <c r="F264" s="4" t="n">
        <v>64</v>
      </c>
      <c r="G264" s="4" t="n">
        <v>1019</v>
      </c>
      <c r="H264" s="0" t="s">
        <v>10</v>
      </c>
      <c r="I264" s="3" t="n">
        <v>17.9</v>
      </c>
    </row>
    <row r="265" customFormat="false" ht="15" hidden="false" customHeight="false" outlineLevel="0" collapsed="false">
      <c r="A265" s="0" t="n">
        <v>264</v>
      </c>
      <c r="B265" s="2" t="n">
        <v>46027.4027777778</v>
      </c>
      <c r="C265" s="0" t="s">
        <v>9</v>
      </c>
      <c r="D265" s="3" t="n">
        <v>7.5</v>
      </c>
      <c r="E265" s="3" t="n">
        <v>6.6</v>
      </c>
      <c r="F265" s="4" t="n">
        <v>67</v>
      </c>
      <c r="G265" s="4" t="n">
        <v>1021</v>
      </c>
      <c r="H265" s="0" t="s">
        <v>10</v>
      </c>
      <c r="I265" s="3" t="n">
        <v>24.4</v>
      </c>
    </row>
    <row r="266" customFormat="false" ht="15" hidden="false" customHeight="false" outlineLevel="0" collapsed="false">
      <c r="A266" s="0" t="n">
        <v>265</v>
      </c>
      <c r="B266" s="2" t="n">
        <v>46028.5763888889</v>
      </c>
      <c r="C266" s="0" t="s">
        <v>9</v>
      </c>
      <c r="D266" s="3" t="n">
        <v>9.9</v>
      </c>
      <c r="E266" s="3" t="n">
        <v>8.3</v>
      </c>
      <c r="F266" s="4" t="n">
        <v>92</v>
      </c>
      <c r="G266" s="4" t="n">
        <v>1030</v>
      </c>
      <c r="H266" s="0" t="s">
        <v>10</v>
      </c>
      <c r="I266" s="3" t="n">
        <v>25.2</v>
      </c>
    </row>
    <row r="267" customFormat="false" ht="15" hidden="false" customHeight="false" outlineLevel="0" collapsed="false">
      <c r="A267" s="0" t="n">
        <v>266</v>
      </c>
      <c r="B267" s="2" t="n">
        <v>46029.4305555556</v>
      </c>
      <c r="C267" s="0" t="s">
        <v>9</v>
      </c>
      <c r="D267" s="3" t="n">
        <v>10.5</v>
      </c>
      <c r="E267" s="3" t="n">
        <v>9.2</v>
      </c>
      <c r="F267" s="4" t="n">
        <v>94</v>
      </c>
      <c r="G267" s="4" t="n">
        <v>1020</v>
      </c>
      <c r="H267" s="0" t="s">
        <v>12</v>
      </c>
      <c r="I267" s="3" t="n">
        <v>27.1</v>
      </c>
    </row>
    <row r="268" customFormat="false" ht="15" hidden="false" customHeight="false" outlineLevel="0" collapsed="false">
      <c r="A268" s="0" t="n">
        <v>267</v>
      </c>
      <c r="B268" s="2" t="n">
        <v>46030.4166666667</v>
      </c>
      <c r="C268" s="0" t="s">
        <v>9</v>
      </c>
      <c r="D268" s="3" t="n">
        <v>8.8</v>
      </c>
      <c r="E268" s="3" t="n">
        <v>7.8</v>
      </c>
      <c r="F268" s="4" t="n">
        <v>90</v>
      </c>
      <c r="G268" s="4" t="n">
        <v>1015</v>
      </c>
      <c r="H268" s="0" t="s">
        <v>17</v>
      </c>
      <c r="I268" s="3" t="n">
        <v>18.5</v>
      </c>
    </row>
    <row r="269" customFormat="false" ht="15" hidden="false" customHeight="false" outlineLevel="0" collapsed="false">
      <c r="A269" s="0" t="n">
        <v>268</v>
      </c>
      <c r="B269" s="2" t="n">
        <v>46031.2986111111</v>
      </c>
      <c r="C269" s="0" t="s">
        <v>9</v>
      </c>
      <c r="D269" s="3" t="n">
        <v>13.9</v>
      </c>
      <c r="E269" s="3" t="n">
        <v>13.6</v>
      </c>
      <c r="F269" s="4" t="n">
        <v>96</v>
      </c>
      <c r="G269" s="4" t="n">
        <v>1010</v>
      </c>
      <c r="H269" s="0" t="s">
        <v>14</v>
      </c>
      <c r="I269" s="3" t="n">
        <v>19</v>
      </c>
    </row>
    <row r="270" customFormat="false" ht="15" hidden="false" customHeight="false" outlineLevel="0" collapsed="false">
      <c r="A270" s="0" t="n">
        <v>269</v>
      </c>
      <c r="B270" s="2" t="n">
        <v>46032.6527777778</v>
      </c>
      <c r="C270" s="0" t="s">
        <v>9</v>
      </c>
      <c r="D270" s="3" t="n">
        <v>10.8</v>
      </c>
      <c r="E270" s="3" t="n">
        <v>9.9</v>
      </c>
      <c r="F270" s="4" t="n">
        <v>93</v>
      </c>
      <c r="G270" s="4" t="n">
        <v>1016</v>
      </c>
      <c r="H270" s="0" t="s">
        <v>15</v>
      </c>
      <c r="I270" s="3" t="n">
        <v>18.8</v>
      </c>
    </row>
    <row r="271" customFormat="false" ht="15" hidden="false" customHeight="false" outlineLevel="0" collapsed="false">
      <c r="A271" s="0" t="n">
        <v>270</v>
      </c>
      <c r="B271" s="2" t="n">
        <v>46033.6458333333</v>
      </c>
      <c r="C271" s="0" t="s">
        <v>9</v>
      </c>
      <c r="D271" s="3" t="n">
        <v>13.2</v>
      </c>
      <c r="E271" s="3" t="n">
        <v>13.2</v>
      </c>
      <c r="F271" s="4" t="n">
        <v>92</v>
      </c>
      <c r="G271" s="4" t="n">
        <v>1021</v>
      </c>
      <c r="H271" s="0" t="s">
        <v>14</v>
      </c>
      <c r="I271" s="3" t="n">
        <v>19.4</v>
      </c>
    </row>
    <row r="272" customFormat="false" ht="15" hidden="false" customHeight="false" outlineLevel="0" collapsed="false">
      <c r="A272" s="0" t="n">
        <v>271</v>
      </c>
      <c r="B272" s="2" t="n">
        <v>46034.3958333333</v>
      </c>
      <c r="C272" s="0" t="s">
        <v>9</v>
      </c>
      <c r="D272" s="3" t="n">
        <v>9.5</v>
      </c>
      <c r="E272" s="3" t="n">
        <v>7.9</v>
      </c>
      <c r="F272" s="4" t="n">
        <v>71</v>
      </c>
      <c r="G272" s="4" t="n">
        <v>1011</v>
      </c>
      <c r="H272" s="0" t="s">
        <v>16</v>
      </c>
      <c r="I272" s="3" t="n">
        <v>18.4</v>
      </c>
    </row>
    <row r="273" customFormat="false" ht="15" hidden="false" customHeight="false" outlineLevel="0" collapsed="false">
      <c r="A273" s="0" t="n">
        <v>272</v>
      </c>
      <c r="B273" s="2" t="n">
        <v>46035.6597222222</v>
      </c>
      <c r="C273" s="0" t="s">
        <v>9</v>
      </c>
      <c r="D273" s="3" t="n">
        <v>12</v>
      </c>
      <c r="E273" s="3" t="n">
        <v>11</v>
      </c>
      <c r="F273" s="4" t="n">
        <v>75</v>
      </c>
      <c r="G273" s="4" t="n">
        <v>1030</v>
      </c>
      <c r="H273" s="0" t="s">
        <v>10</v>
      </c>
      <c r="I273" s="3" t="n">
        <v>33.9</v>
      </c>
    </row>
    <row r="274" customFormat="false" ht="15" hidden="false" customHeight="false" outlineLevel="0" collapsed="false">
      <c r="A274" s="0" t="n">
        <v>273</v>
      </c>
      <c r="B274" s="2" t="n">
        <v>46036.7638888889</v>
      </c>
      <c r="C274" s="0" t="s">
        <v>9</v>
      </c>
      <c r="D274" s="3" t="n">
        <v>14.9</v>
      </c>
      <c r="E274" s="3" t="n">
        <v>14.2</v>
      </c>
      <c r="F274" s="4" t="n">
        <v>75</v>
      </c>
      <c r="G274" s="4" t="n">
        <v>1020</v>
      </c>
      <c r="H274" s="0" t="s">
        <v>10</v>
      </c>
      <c r="I274" s="3" t="n">
        <v>17.3</v>
      </c>
    </row>
    <row r="275" customFormat="false" ht="15" hidden="false" customHeight="false" outlineLevel="0" collapsed="false">
      <c r="A275" s="0" t="n">
        <v>274</v>
      </c>
      <c r="B275" s="2" t="n">
        <v>46037.8958333333</v>
      </c>
      <c r="C275" s="0" t="s">
        <v>9</v>
      </c>
      <c r="D275" s="3" t="n">
        <v>14.3</v>
      </c>
      <c r="E275" s="3" t="n">
        <v>14.4</v>
      </c>
      <c r="F275" s="4" t="n">
        <v>75</v>
      </c>
      <c r="G275" s="4" t="n">
        <v>1012</v>
      </c>
      <c r="H275" s="0" t="s">
        <v>10</v>
      </c>
      <c r="I275" s="3" t="n">
        <v>24.8</v>
      </c>
    </row>
    <row r="276" customFormat="false" ht="15" hidden="false" customHeight="false" outlineLevel="0" collapsed="false">
      <c r="A276" s="0" t="n">
        <v>275</v>
      </c>
      <c r="B276" s="2" t="n">
        <v>46038.3611111111</v>
      </c>
      <c r="C276" s="0" t="s">
        <v>9</v>
      </c>
      <c r="D276" s="3" t="n">
        <v>9.1</v>
      </c>
      <c r="E276" s="3" t="n">
        <v>7.1</v>
      </c>
      <c r="F276" s="4" t="n">
        <v>94</v>
      </c>
      <c r="G276" s="4" t="n">
        <v>1013</v>
      </c>
      <c r="H276" s="0" t="s">
        <v>15</v>
      </c>
      <c r="I276" s="3" t="n">
        <v>21.7</v>
      </c>
    </row>
    <row r="277" customFormat="false" ht="15" hidden="false" customHeight="false" outlineLevel="0" collapsed="false">
      <c r="A277" s="0" t="n">
        <v>276</v>
      </c>
      <c r="B277" s="2" t="n">
        <v>46039.3125</v>
      </c>
      <c r="C277" s="0" t="s">
        <v>9</v>
      </c>
      <c r="D277" s="3" t="n">
        <v>9.7</v>
      </c>
      <c r="E277" s="3" t="n">
        <v>8.4</v>
      </c>
      <c r="F277" s="4" t="n">
        <v>93</v>
      </c>
      <c r="G277" s="4" t="n">
        <v>1007</v>
      </c>
      <c r="H277" s="0" t="s">
        <v>15</v>
      </c>
      <c r="I277" s="3" t="n">
        <v>18.4</v>
      </c>
    </row>
    <row r="278" customFormat="false" ht="15" hidden="false" customHeight="false" outlineLevel="0" collapsed="false">
      <c r="A278" s="0" t="n">
        <v>277</v>
      </c>
      <c r="B278" s="2" t="n">
        <v>46040.6944444445</v>
      </c>
      <c r="C278" s="0" t="s">
        <v>9</v>
      </c>
      <c r="D278" s="3" t="n">
        <v>13.1</v>
      </c>
      <c r="E278" s="3" t="n">
        <v>12.9</v>
      </c>
      <c r="F278" s="4" t="n">
        <v>69</v>
      </c>
      <c r="G278" s="4" t="n">
        <v>1019</v>
      </c>
      <c r="H278" s="0" t="s">
        <v>10</v>
      </c>
      <c r="I278" s="3" t="n">
        <v>18.3</v>
      </c>
    </row>
    <row r="279" customFormat="false" ht="15" hidden="false" customHeight="false" outlineLevel="0" collapsed="false">
      <c r="A279" s="0" t="n">
        <v>278</v>
      </c>
      <c r="B279" s="2" t="n">
        <v>46041.5833333333</v>
      </c>
      <c r="C279" s="0" t="s">
        <v>9</v>
      </c>
      <c r="D279" s="3" t="n">
        <v>9.4</v>
      </c>
      <c r="E279" s="3" t="n">
        <v>8.6</v>
      </c>
      <c r="F279" s="4" t="n">
        <v>99</v>
      </c>
      <c r="G279" s="4" t="n">
        <v>1010</v>
      </c>
      <c r="H279" s="0" t="s">
        <v>11</v>
      </c>
      <c r="I279" s="3" t="n">
        <v>25.4</v>
      </c>
    </row>
    <row r="280" customFormat="false" ht="15" hidden="false" customHeight="false" outlineLevel="0" collapsed="false">
      <c r="A280" s="0" t="n">
        <v>279</v>
      </c>
      <c r="B280" s="2" t="n">
        <v>46042.3402777778</v>
      </c>
      <c r="C280" s="0" t="s">
        <v>9</v>
      </c>
      <c r="D280" s="3" t="n">
        <v>12.7</v>
      </c>
      <c r="E280" s="3" t="n">
        <v>13.7</v>
      </c>
      <c r="F280" s="4" t="n">
        <v>67</v>
      </c>
      <c r="G280" s="4" t="n">
        <v>1020</v>
      </c>
      <c r="H280" s="0" t="s">
        <v>10</v>
      </c>
      <c r="I280" s="3" t="n">
        <v>26.9</v>
      </c>
    </row>
    <row r="281" customFormat="false" ht="15" hidden="false" customHeight="false" outlineLevel="0" collapsed="false">
      <c r="A281" s="0" t="n">
        <v>280</v>
      </c>
      <c r="B281" s="2" t="n">
        <v>46043.2847222222</v>
      </c>
      <c r="C281" s="0" t="s">
        <v>9</v>
      </c>
      <c r="D281" s="3" t="n">
        <v>9</v>
      </c>
      <c r="E281" s="3" t="n">
        <v>8.6</v>
      </c>
      <c r="F281" s="4" t="n">
        <v>82</v>
      </c>
      <c r="G281" s="4" t="n">
        <v>1011</v>
      </c>
      <c r="H281" s="0" t="s">
        <v>15</v>
      </c>
      <c r="I281" s="3" t="n">
        <v>18.1</v>
      </c>
    </row>
    <row r="282" customFormat="false" ht="15" hidden="false" customHeight="false" outlineLevel="0" collapsed="false">
      <c r="A282" s="0" t="n">
        <v>281</v>
      </c>
      <c r="B282" s="2" t="n">
        <v>46044.6111111111</v>
      </c>
      <c r="C282" s="0" t="s">
        <v>9</v>
      </c>
      <c r="D282" s="3" t="n">
        <v>13.9</v>
      </c>
      <c r="E282" s="3" t="n">
        <v>14</v>
      </c>
      <c r="F282" s="4" t="n">
        <v>59</v>
      </c>
      <c r="G282" s="4" t="n">
        <v>1019</v>
      </c>
      <c r="H282" s="0" t="s">
        <v>10</v>
      </c>
      <c r="I282" s="3" t="n">
        <v>21.7</v>
      </c>
    </row>
    <row r="283" customFormat="false" ht="15" hidden="false" customHeight="false" outlineLevel="0" collapsed="false">
      <c r="A283" s="0" t="n">
        <v>282</v>
      </c>
      <c r="B283" s="2" t="n">
        <v>46045.2986111111</v>
      </c>
      <c r="C283" s="0" t="s">
        <v>9</v>
      </c>
      <c r="D283" s="3" t="n">
        <v>6.9</v>
      </c>
      <c r="E283" s="3" t="n">
        <v>4.5</v>
      </c>
      <c r="F283" s="4" t="n">
        <v>99</v>
      </c>
      <c r="G283" s="4" t="n">
        <v>1017</v>
      </c>
      <c r="H283" s="0" t="s">
        <v>11</v>
      </c>
      <c r="I283" s="3" t="n">
        <v>26.7</v>
      </c>
    </row>
    <row r="284" customFormat="false" ht="15" hidden="false" customHeight="false" outlineLevel="0" collapsed="false">
      <c r="A284" s="0" t="n">
        <v>283</v>
      </c>
      <c r="B284" s="2" t="n">
        <v>46046.9027777778</v>
      </c>
      <c r="C284" s="0" t="s">
        <v>9</v>
      </c>
      <c r="D284" s="3" t="n">
        <v>12.9</v>
      </c>
      <c r="E284" s="3" t="n">
        <v>13.2</v>
      </c>
      <c r="F284" s="4" t="n">
        <v>74</v>
      </c>
      <c r="G284" s="4" t="n">
        <v>1009</v>
      </c>
      <c r="H284" s="0" t="s">
        <v>16</v>
      </c>
      <c r="I284" s="3" t="n">
        <v>24.8</v>
      </c>
    </row>
    <row r="285" customFormat="false" ht="15" hidden="false" customHeight="false" outlineLevel="0" collapsed="false">
      <c r="A285" s="0" t="n">
        <v>284</v>
      </c>
      <c r="B285" s="2" t="n">
        <v>46047.8472222222</v>
      </c>
      <c r="C285" s="0" t="s">
        <v>9</v>
      </c>
      <c r="D285" s="3" t="n">
        <v>15.2</v>
      </c>
      <c r="E285" s="3" t="n">
        <v>14.5</v>
      </c>
      <c r="F285" s="4" t="n">
        <v>73</v>
      </c>
      <c r="G285" s="4" t="n">
        <v>1019</v>
      </c>
      <c r="H285" s="0" t="s">
        <v>17</v>
      </c>
      <c r="I285" s="3" t="n">
        <v>22.7</v>
      </c>
    </row>
    <row r="286" customFormat="false" ht="15" hidden="false" customHeight="false" outlineLevel="0" collapsed="false">
      <c r="A286" s="0" t="n">
        <v>285</v>
      </c>
      <c r="B286" s="2" t="n">
        <v>46048.4861111111</v>
      </c>
      <c r="C286" s="0" t="s">
        <v>9</v>
      </c>
      <c r="D286" s="3" t="n">
        <v>9</v>
      </c>
      <c r="E286" s="3" t="n">
        <v>7.1</v>
      </c>
      <c r="F286" s="4" t="n">
        <v>80</v>
      </c>
      <c r="G286" s="4" t="n">
        <v>1019</v>
      </c>
      <c r="H286" s="0" t="s">
        <v>16</v>
      </c>
      <c r="I286" s="3" t="n">
        <v>20.6</v>
      </c>
    </row>
    <row r="287" customFormat="false" ht="15" hidden="false" customHeight="false" outlineLevel="0" collapsed="false">
      <c r="A287" s="0" t="n">
        <v>286</v>
      </c>
      <c r="B287" s="2" t="n">
        <v>46049.8263888889</v>
      </c>
      <c r="C287" s="0" t="s">
        <v>9</v>
      </c>
      <c r="D287" s="3" t="n">
        <v>14.5</v>
      </c>
      <c r="E287" s="3" t="n">
        <v>15.6</v>
      </c>
      <c r="F287" s="4" t="n">
        <v>96</v>
      </c>
      <c r="G287" s="4" t="n">
        <v>1019</v>
      </c>
      <c r="H287" s="0" t="s">
        <v>19</v>
      </c>
      <c r="I287" s="3" t="n">
        <v>17</v>
      </c>
    </row>
    <row r="288" customFormat="false" ht="15" hidden="false" customHeight="false" outlineLevel="0" collapsed="false">
      <c r="A288" s="0" t="n">
        <v>287</v>
      </c>
      <c r="B288" s="2" t="n">
        <v>46050.875</v>
      </c>
      <c r="C288" s="0" t="s">
        <v>9</v>
      </c>
      <c r="D288" s="3" t="n">
        <v>12</v>
      </c>
      <c r="E288" s="3" t="n">
        <v>12.2</v>
      </c>
      <c r="F288" s="4" t="n">
        <v>86</v>
      </c>
      <c r="G288" s="4" t="n">
        <v>1020</v>
      </c>
      <c r="H288" s="0" t="s">
        <v>16</v>
      </c>
      <c r="I288" s="3" t="n">
        <v>18.4</v>
      </c>
    </row>
    <row r="289" customFormat="false" ht="15" hidden="false" customHeight="false" outlineLevel="0" collapsed="false">
      <c r="A289" s="0" t="n">
        <v>288</v>
      </c>
      <c r="B289" s="2" t="n">
        <v>46051.8888888889</v>
      </c>
      <c r="C289" s="0" t="s">
        <v>9</v>
      </c>
      <c r="D289" s="3" t="n">
        <v>14</v>
      </c>
      <c r="E289" s="3" t="n">
        <v>14.6</v>
      </c>
      <c r="F289" s="4" t="n">
        <v>81</v>
      </c>
      <c r="G289" s="4" t="n">
        <v>1023</v>
      </c>
      <c r="H289" s="0" t="s">
        <v>14</v>
      </c>
      <c r="I289" s="3" t="n">
        <v>22.7</v>
      </c>
    </row>
    <row r="290" customFormat="false" ht="15" hidden="false" customHeight="false" outlineLevel="0" collapsed="false">
      <c r="A290" s="0" t="n">
        <v>289</v>
      </c>
      <c r="B290" s="2" t="n">
        <v>46052.8055555556</v>
      </c>
      <c r="C290" s="0" t="s">
        <v>9</v>
      </c>
      <c r="D290" s="3" t="n">
        <v>14.9</v>
      </c>
      <c r="E290" s="3" t="n">
        <v>14.3</v>
      </c>
      <c r="F290" s="4" t="n">
        <v>75</v>
      </c>
      <c r="G290" s="4" t="n">
        <v>1015</v>
      </c>
      <c r="H290" s="0" t="s">
        <v>10</v>
      </c>
      <c r="I290" s="3" t="n">
        <v>20.5</v>
      </c>
    </row>
    <row r="291" customFormat="false" ht="15" hidden="false" customHeight="false" outlineLevel="0" collapsed="false">
      <c r="A291" s="0" t="n">
        <v>290</v>
      </c>
      <c r="B291" s="2" t="n">
        <v>46053.7013888889</v>
      </c>
      <c r="C291" s="0" t="s">
        <v>9</v>
      </c>
      <c r="D291" s="3" t="n">
        <v>11</v>
      </c>
      <c r="E291" s="3" t="n">
        <v>9.2</v>
      </c>
      <c r="F291" s="4" t="n">
        <v>81</v>
      </c>
      <c r="G291" s="4" t="n">
        <v>1020</v>
      </c>
      <c r="H291" s="0" t="s">
        <v>16</v>
      </c>
      <c r="I291" s="3" t="n">
        <v>20.7</v>
      </c>
    </row>
    <row r="292" customFormat="false" ht="15" hidden="false" customHeight="false" outlineLevel="0" collapsed="false">
      <c r="A292" s="0" t="n">
        <v>291</v>
      </c>
      <c r="B292" s="2" t="n">
        <v>46054.3819444445</v>
      </c>
      <c r="C292" s="0" t="s">
        <v>9</v>
      </c>
      <c r="D292" s="3" t="n">
        <v>10.4</v>
      </c>
      <c r="E292" s="3" t="n">
        <v>9.4</v>
      </c>
      <c r="F292" s="4" t="n">
        <v>99</v>
      </c>
      <c r="G292" s="4" t="n">
        <v>1016</v>
      </c>
      <c r="H292" s="0" t="s">
        <v>19</v>
      </c>
      <c r="I292" s="3" t="n">
        <v>18.9</v>
      </c>
    </row>
    <row r="293" customFormat="false" ht="15" hidden="false" customHeight="false" outlineLevel="0" collapsed="false">
      <c r="A293" s="0" t="n">
        <v>292</v>
      </c>
      <c r="B293" s="2" t="n">
        <v>46055.6875</v>
      </c>
      <c r="C293" s="0" t="s">
        <v>9</v>
      </c>
      <c r="D293" s="3" t="n">
        <v>12.2</v>
      </c>
      <c r="E293" s="3" t="n">
        <v>13</v>
      </c>
      <c r="F293" s="4" t="n">
        <v>76</v>
      </c>
      <c r="G293" s="4" t="n">
        <v>1019</v>
      </c>
      <c r="H293" s="0" t="s">
        <v>12</v>
      </c>
      <c r="I293" s="3" t="n">
        <v>17.2</v>
      </c>
    </row>
    <row r="294" customFormat="false" ht="15" hidden="false" customHeight="false" outlineLevel="0" collapsed="false">
      <c r="A294" s="0" t="n">
        <v>293</v>
      </c>
      <c r="B294" s="2" t="n">
        <v>46056.8888888889</v>
      </c>
      <c r="C294" s="0" t="s">
        <v>9</v>
      </c>
      <c r="D294" s="3" t="n">
        <v>12.3</v>
      </c>
      <c r="E294" s="3" t="n">
        <v>11.9</v>
      </c>
      <c r="F294" s="4" t="n">
        <v>86</v>
      </c>
      <c r="G294" s="4" t="n">
        <v>1016</v>
      </c>
      <c r="H294" s="0" t="s">
        <v>10</v>
      </c>
      <c r="I294" s="3" t="n">
        <v>17.7</v>
      </c>
    </row>
    <row r="295" customFormat="false" ht="15" hidden="false" customHeight="false" outlineLevel="0" collapsed="false">
      <c r="A295" s="0" t="n">
        <v>294</v>
      </c>
      <c r="B295" s="2" t="n">
        <v>46057.7777777778</v>
      </c>
      <c r="C295" s="0" t="s">
        <v>9</v>
      </c>
      <c r="D295" s="3" t="n">
        <v>12.5</v>
      </c>
      <c r="E295" s="3" t="n">
        <v>12</v>
      </c>
      <c r="F295" s="4" t="n">
        <v>74</v>
      </c>
      <c r="G295" s="4" t="n">
        <v>1016</v>
      </c>
      <c r="H295" s="0" t="s">
        <v>12</v>
      </c>
      <c r="I295" s="3" t="n">
        <v>16.4</v>
      </c>
    </row>
    <row r="296" customFormat="false" ht="15" hidden="false" customHeight="false" outlineLevel="0" collapsed="false">
      <c r="A296" s="0" t="n">
        <v>295</v>
      </c>
      <c r="B296" s="2" t="n">
        <v>46058.3125</v>
      </c>
      <c r="C296" s="0" t="s">
        <v>9</v>
      </c>
      <c r="D296" s="3" t="n">
        <v>9.6</v>
      </c>
      <c r="E296" s="3" t="n">
        <v>7.7</v>
      </c>
      <c r="F296" s="4" t="n">
        <v>73</v>
      </c>
      <c r="G296" s="4" t="n">
        <v>1026</v>
      </c>
      <c r="H296" s="0" t="s">
        <v>16</v>
      </c>
      <c r="I296" s="3" t="n">
        <v>24.3</v>
      </c>
    </row>
    <row r="297" customFormat="false" ht="15" hidden="false" customHeight="false" outlineLevel="0" collapsed="false">
      <c r="A297" s="0" t="n">
        <v>296</v>
      </c>
      <c r="B297" s="2" t="n">
        <v>46059.3472222222</v>
      </c>
      <c r="C297" s="0" t="s">
        <v>9</v>
      </c>
      <c r="D297" s="3" t="n">
        <v>10.1</v>
      </c>
      <c r="E297" s="3" t="n">
        <v>8.2</v>
      </c>
      <c r="F297" s="4" t="n">
        <v>73</v>
      </c>
      <c r="G297" s="4" t="n">
        <v>1023</v>
      </c>
      <c r="H297" s="0" t="s">
        <v>10</v>
      </c>
      <c r="I297" s="3" t="n">
        <v>19.5</v>
      </c>
    </row>
    <row r="298" customFormat="false" ht="15" hidden="false" customHeight="false" outlineLevel="0" collapsed="false">
      <c r="A298" s="0" t="n">
        <v>297</v>
      </c>
      <c r="B298" s="2" t="n">
        <v>46060.5972222222</v>
      </c>
      <c r="C298" s="0" t="s">
        <v>9</v>
      </c>
      <c r="D298" s="3" t="n">
        <v>11.8</v>
      </c>
      <c r="E298" s="3" t="n">
        <v>10.7</v>
      </c>
      <c r="F298" s="4" t="n">
        <v>61</v>
      </c>
      <c r="G298" s="4" t="n">
        <v>1023</v>
      </c>
      <c r="H298" s="0" t="s">
        <v>10</v>
      </c>
      <c r="I298" s="3" t="n">
        <v>25.9</v>
      </c>
    </row>
    <row r="299" customFormat="false" ht="15" hidden="false" customHeight="false" outlineLevel="0" collapsed="false">
      <c r="A299" s="0" t="n">
        <v>298</v>
      </c>
      <c r="B299" s="2" t="n">
        <v>46061.3958333333</v>
      </c>
      <c r="C299" s="0" t="s">
        <v>9</v>
      </c>
      <c r="D299" s="3" t="n">
        <v>8.2</v>
      </c>
      <c r="E299" s="3" t="n">
        <v>7.1</v>
      </c>
      <c r="F299" s="4" t="n">
        <v>89</v>
      </c>
      <c r="G299" s="4" t="n">
        <v>1016</v>
      </c>
      <c r="H299" s="0" t="s">
        <v>15</v>
      </c>
      <c r="I299" s="3" t="n">
        <v>19.7</v>
      </c>
    </row>
    <row r="300" customFormat="false" ht="15" hidden="false" customHeight="false" outlineLevel="0" collapsed="false">
      <c r="A300" s="0" t="n">
        <v>299</v>
      </c>
      <c r="B300" s="2" t="n">
        <v>46062.2847222222</v>
      </c>
      <c r="C300" s="0" t="s">
        <v>9</v>
      </c>
      <c r="D300" s="3" t="n">
        <v>8.5</v>
      </c>
      <c r="E300" s="3" t="n">
        <v>7.5</v>
      </c>
      <c r="F300" s="4" t="n">
        <v>90</v>
      </c>
      <c r="G300" s="4" t="n">
        <v>1024</v>
      </c>
      <c r="H300" s="0" t="s">
        <v>12</v>
      </c>
      <c r="I300" s="3" t="n">
        <v>24.5</v>
      </c>
    </row>
    <row r="301" customFormat="false" ht="15" hidden="false" customHeight="false" outlineLevel="0" collapsed="false">
      <c r="A301" s="0" t="n">
        <v>300</v>
      </c>
      <c r="B301" s="2" t="n">
        <v>46063.8541666667</v>
      </c>
      <c r="C301" s="0" t="s">
        <v>9</v>
      </c>
      <c r="D301" s="3" t="n">
        <v>11.6</v>
      </c>
      <c r="E301" s="3" t="n">
        <v>9.6</v>
      </c>
      <c r="F301" s="4" t="n">
        <v>99</v>
      </c>
      <c r="G301" s="4" t="n">
        <v>1009</v>
      </c>
      <c r="H301" s="0" t="s">
        <v>11</v>
      </c>
      <c r="I301" s="3" t="n">
        <v>21.8</v>
      </c>
    </row>
    <row r="302" customFormat="false" ht="15" hidden="false" customHeight="false" outlineLevel="0" collapsed="false">
      <c r="A302" s="0" t="n">
        <v>301</v>
      </c>
      <c r="B302" s="2" t="n">
        <v>46064.2986111111</v>
      </c>
      <c r="C302" s="0" t="s">
        <v>9</v>
      </c>
      <c r="D302" s="3" t="n">
        <v>12.5</v>
      </c>
      <c r="E302" s="3" t="n">
        <v>11.9</v>
      </c>
      <c r="F302" s="4" t="n">
        <v>78</v>
      </c>
      <c r="G302" s="4" t="n">
        <v>1013</v>
      </c>
      <c r="H302" s="0" t="s">
        <v>10</v>
      </c>
      <c r="I302" s="3" t="n">
        <v>20.7</v>
      </c>
    </row>
    <row r="303" customFormat="false" ht="15" hidden="false" customHeight="false" outlineLevel="0" collapsed="false">
      <c r="A303" s="0" t="n">
        <v>302</v>
      </c>
      <c r="B303" s="2" t="n">
        <v>46065.7361111111</v>
      </c>
      <c r="C303" s="0" t="s">
        <v>9</v>
      </c>
      <c r="D303" s="3" t="n">
        <v>12.3</v>
      </c>
      <c r="E303" s="3" t="n">
        <v>12</v>
      </c>
      <c r="F303" s="4" t="n">
        <v>81</v>
      </c>
      <c r="G303" s="4" t="n">
        <v>1014</v>
      </c>
      <c r="H303" s="0" t="s">
        <v>12</v>
      </c>
      <c r="I303" s="3" t="n">
        <v>18.9</v>
      </c>
    </row>
    <row r="304" customFormat="false" ht="15" hidden="false" customHeight="false" outlineLevel="0" collapsed="false">
      <c r="A304" s="0" t="n">
        <v>303</v>
      </c>
      <c r="B304" s="2" t="n">
        <v>46066.9097222222</v>
      </c>
      <c r="C304" s="0" t="s">
        <v>9</v>
      </c>
      <c r="D304" s="3" t="n">
        <v>14.2</v>
      </c>
      <c r="E304" s="3" t="n">
        <v>15.3</v>
      </c>
      <c r="F304" s="4" t="n">
        <v>79</v>
      </c>
      <c r="G304" s="4" t="n">
        <v>1011</v>
      </c>
      <c r="H304" s="0" t="s">
        <v>18</v>
      </c>
      <c r="I304" s="3" t="n">
        <v>27.6</v>
      </c>
    </row>
    <row r="305" customFormat="false" ht="15" hidden="false" customHeight="false" outlineLevel="0" collapsed="false">
      <c r="A305" s="0" t="n">
        <v>304</v>
      </c>
      <c r="B305" s="2" t="n">
        <v>46067.8333333333</v>
      </c>
      <c r="C305" s="0" t="s">
        <v>9</v>
      </c>
      <c r="D305" s="3" t="n">
        <v>16.1</v>
      </c>
      <c r="E305" s="3" t="n">
        <v>16</v>
      </c>
      <c r="F305" s="4" t="n">
        <v>87</v>
      </c>
      <c r="G305" s="4" t="n">
        <v>1016</v>
      </c>
      <c r="H305" s="0" t="s">
        <v>17</v>
      </c>
      <c r="I305" s="3" t="n">
        <v>16.8</v>
      </c>
    </row>
    <row r="306" customFormat="false" ht="15" hidden="false" customHeight="false" outlineLevel="0" collapsed="false">
      <c r="A306" s="0" t="n">
        <v>305</v>
      </c>
      <c r="B306" s="2" t="n">
        <v>46068.5138888889</v>
      </c>
      <c r="C306" s="0" t="s">
        <v>9</v>
      </c>
      <c r="D306" s="3" t="n">
        <v>8.9</v>
      </c>
      <c r="E306" s="3" t="n">
        <v>8</v>
      </c>
      <c r="F306" s="4" t="n">
        <v>85</v>
      </c>
      <c r="G306" s="4" t="n">
        <v>1020</v>
      </c>
      <c r="H306" s="0" t="s">
        <v>10</v>
      </c>
      <c r="I306" s="3" t="n">
        <v>19.8</v>
      </c>
    </row>
    <row r="307" customFormat="false" ht="15" hidden="false" customHeight="false" outlineLevel="0" collapsed="false">
      <c r="A307" s="0" t="n">
        <v>306</v>
      </c>
      <c r="B307" s="2" t="n">
        <v>46069.4305555556</v>
      </c>
      <c r="C307" s="0" t="s">
        <v>9</v>
      </c>
      <c r="D307" s="3" t="n">
        <v>9.2</v>
      </c>
      <c r="E307" s="3" t="n">
        <v>8.7</v>
      </c>
      <c r="F307" s="4" t="n">
        <v>86</v>
      </c>
      <c r="G307" s="4" t="n">
        <v>1020</v>
      </c>
      <c r="H307" s="0" t="s">
        <v>13</v>
      </c>
      <c r="I307" s="3" t="n">
        <v>19.1</v>
      </c>
    </row>
    <row r="308" customFormat="false" ht="15" hidden="false" customHeight="false" outlineLevel="0" collapsed="false">
      <c r="A308" s="0" t="n">
        <v>307</v>
      </c>
      <c r="B308" s="2" t="n">
        <v>46070.8680555556</v>
      </c>
      <c r="C308" s="0" t="s">
        <v>9</v>
      </c>
      <c r="D308" s="3" t="n">
        <v>14.5</v>
      </c>
      <c r="E308" s="3" t="n">
        <v>14.4</v>
      </c>
      <c r="F308" s="4" t="n">
        <v>70</v>
      </c>
      <c r="G308" s="4" t="n">
        <v>1018</v>
      </c>
      <c r="H308" s="0" t="s">
        <v>10</v>
      </c>
      <c r="I308" s="3" t="n">
        <v>20</v>
      </c>
    </row>
    <row r="309" customFormat="false" ht="15" hidden="false" customHeight="false" outlineLevel="0" collapsed="false">
      <c r="A309" s="0" t="n">
        <v>308</v>
      </c>
      <c r="B309" s="2" t="n">
        <v>46072.875</v>
      </c>
      <c r="C309" s="0" t="s">
        <v>9</v>
      </c>
      <c r="D309" s="3" t="n">
        <v>16.5</v>
      </c>
      <c r="E309" s="3" t="n">
        <v>16.5</v>
      </c>
      <c r="F309" s="4" t="n">
        <v>76</v>
      </c>
      <c r="G309" s="4" t="n">
        <v>1020</v>
      </c>
      <c r="H309" s="0" t="s">
        <v>10</v>
      </c>
      <c r="I309" s="3" t="n">
        <v>23.5</v>
      </c>
    </row>
    <row r="310" customFormat="false" ht="15" hidden="false" customHeight="false" outlineLevel="0" collapsed="false">
      <c r="A310" s="0" t="n">
        <v>309</v>
      </c>
      <c r="B310" s="2" t="n">
        <v>46073.2847222222</v>
      </c>
      <c r="C310" s="0" t="s">
        <v>9</v>
      </c>
      <c r="D310" s="3" t="n">
        <v>9.8</v>
      </c>
      <c r="E310" s="3" t="n">
        <v>9.1</v>
      </c>
      <c r="F310" s="4" t="n">
        <v>88</v>
      </c>
      <c r="G310" s="4" t="n">
        <v>1024</v>
      </c>
      <c r="H310" s="0" t="s">
        <v>17</v>
      </c>
      <c r="I310" s="3" t="n">
        <v>24.8</v>
      </c>
    </row>
    <row r="311" customFormat="false" ht="15" hidden="false" customHeight="false" outlineLevel="0" collapsed="false">
      <c r="A311" s="0" t="n">
        <v>310</v>
      </c>
      <c r="B311" s="2" t="n">
        <v>46074.5763888889</v>
      </c>
      <c r="C311" s="0" t="s">
        <v>9</v>
      </c>
      <c r="D311" s="3" t="n">
        <v>11.5</v>
      </c>
      <c r="E311" s="3" t="n">
        <v>11.9</v>
      </c>
      <c r="F311" s="4" t="n">
        <v>98</v>
      </c>
      <c r="G311" s="4" t="n">
        <v>1017</v>
      </c>
      <c r="H311" s="0" t="s">
        <v>19</v>
      </c>
      <c r="I311" s="3" t="n">
        <v>14.9</v>
      </c>
    </row>
    <row r="312" customFormat="false" ht="15" hidden="false" customHeight="false" outlineLevel="0" collapsed="false">
      <c r="A312" s="0" t="n">
        <v>311</v>
      </c>
      <c r="B312" s="2" t="n">
        <v>46075.4722222222</v>
      </c>
      <c r="C312" s="0" t="s">
        <v>9</v>
      </c>
      <c r="D312" s="3" t="n">
        <v>12.2</v>
      </c>
      <c r="E312" s="3" t="n">
        <v>11.6</v>
      </c>
      <c r="F312" s="4" t="n">
        <v>67</v>
      </c>
      <c r="G312" s="4" t="n">
        <v>1014</v>
      </c>
      <c r="H312" s="0" t="s">
        <v>16</v>
      </c>
      <c r="I312" s="3" t="n">
        <v>19.7</v>
      </c>
    </row>
    <row r="313" customFormat="false" ht="15" hidden="false" customHeight="false" outlineLevel="0" collapsed="false">
      <c r="A313" s="0" t="n">
        <v>312</v>
      </c>
      <c r="B313" s="2" t="n">
        <v>46076.2777777778</v>
      </c>
      <c r="C313" s="0" t="s">
        <v>9</v>
      </c>
      <c r="D313" s="3" t="n">
        <v>11.9</v>
      </c>
      <c r="E313" s="3" t="n">
        <v>10.8</v>
      </c>
      <c r="F313" s="4" t="n">
        <v>89</v>
      </c>
      <c r="G313" s="4" t="n">
        <v>1022</v>
      </c>
      <c r="H313" s="0" t="s">
        <v>12</v>
      </c>
      <c r="I313" s="3" t="n">
        <v>22</v>
      </c>
    </row>
    <row r="314" customFormat="false" ht="15" hidden="false" customHeight="false" outlineLevel="0" collapsed="false">
      <c r="A314" s="0" t="n">
        <v>313</v>
      </c>
      <c r="B314" s="2" t="n">
        <v>46077.7916666667</v>
      </c>
      <c r="C314" s="0" t="s">
        <v>9</v>
      </c>
      <c r="D314" s="3" t="n">
        <v>13.8</v>
      </c>
      <c r="E314" s="3" t="n">
        <v>13.3</v>
      </c>
      <c r="F314" s="4" t="n">
        <v>81</v>
      </c>
      <c r="G314" s="4" t="n">
        <v>1011</v>
      </c>
      <c r="H314" s="0" t="s">
        <v>10</v>
      </c>
      <c r="I314" s="3" t="n">
        <v>19.7</v>
      </c>
    </row>
    <row r="315" customFormat="false" ht="15" hidden="false" customHeight="false" outlineLevel="0" collapsed="false">
      <c r="A315" s="0" t="n">
        <v>314</v>
      </c>
      <c r="B315" s="2" t="n">
        <v>46079.5416666667</v>
      </c>
      <c r="C315" s="0" t="s">
        <v>9</v>
      </c>
      <c r="D315" s="3" t="n">
        <v>13.7</v>
      </c>
      <c r="E315" s="3" t="n">
        <v>13.4</v>
      </c>
      <c r="F315" s="4" t="n">
        <v>91</v>
      </c>
      <c r="G315" s="4" t="n">
        <v>1014</v>
      </c>
      <c r="H315" s="0" t="s">
        <v>10</v>
      </c>
      <c r="I315" s="3" t="n">
        <v>22.4</v>
      </c>
    </row>
    <row r="316" customFormat="false" ht="15" hidden="false" customHeight="false" outlineLevel="0" collapsed="false">
      <c r="A316" s="0" t="n">
        <v>315</v>
      </c>
      <c r="B316" s="2" t="n">
        <v>46080.8333333333</v>
      </c>
      <c r="C316" s="0" t="s">
        <v>9</v>
      </c>
      <c r="D316" s="3" t="n">
        <v>13.5</v>
      </c>
      <c r="E316" s="3" t="n">
        <v>13.6</v>
      </c>
      <c r="F316" s="4" t="n">
        <v>71</v>
      </c>
      <c r="G316" s="4" t="n">
        <v>1015</v>
      </c>
      <c r="H316" s="0" t="s">
        <v>10</v>
      </c>
      <c r="I316" s="3" t="n">
        <v>18.7</v>
      </c>
    </row>
    <row r="317" customFormat="false" ht="15" hidden="false" customHeight="false" outlineLevel="0" collapsed="false">
      <c r="A317" s="0" t="n">
        <v>316</v>
      </c>
      <c r="B317" s="2" t="n">
        <v>46081.4375</v>
      </c>
      <c r="C317" s="0" t="s">
        <v>9</v>
      </c>
      <c r="D317" s="3" t="n">
        <v>11.3</v>
      </c>
      <c r="E317" s="3" t="n">
        <v>10.7</v>
      </c>
      <c r="F317" s="4" t="n">
        <v>78</v>
      </c>
      <c r="G317" s="4" t="n">
        <v>1022</v>
      </c>
      <c r="H317" s="0" t="s">
        <v>16</v>
      </c>
      <c r="I317" s="3" t="n">
        <v>19.2</v>
      </c>
    </row>
    <row r="318" customFormat="false" ht="15" hidden="false" customHeight="false" outlineLevel="0" collapsed="false">
      <c r="A318" s="0" t="n">
        <v>317</v>
      </c>
      <c r="B318" s="2" t="n">
        <v>46082.6527777778</v>
      </c>
      <c r="C318" s="0" t="s">
        <v>9</v>
      </c>
      <c r="D318" s="3" t="n">
        <v>11.2</v>
      </c>
      <c r="E318" s="3" t="n">
        <v>10.7</v>
      </c>
      <c r="F318" s="4" t="n">
        <v>76</v>
      </c>
      <c r="G318" s="4" t="n">
        <v>1014</v>
      </c>
      <c r="H318" s="0" t="s">
        <v>14</v>
      </c>
      <c r="I318" s="3" t="n">
        <v>15.9</v>
      </c>
    </row>
    <row r="319" customFormat="false" ht="15" hidden="false" customHeight="false" outlineLevel="0" collapsed="false">
      <c r="A319" s="0" t="n">
        <v>318</v>
      </c>
      <c r="B319" s="2" t="n">
        <v>46083.6041666667</v>
      </c>
      <c r="C319" s="0" t="s">
        <v>9</v>
      </c>
      <c r="D319" s="3" t="n">
        <v>8.3</v>
      </c>
      <c r="E319" s="3" t="n">
        <v>7.2</v>
      </c>
      <c r="F319" s="4" t="n">
        <v>70</v>
      </c>
      <c r="G319" s="4" t="n">
        <v>1013</v>
      </c>
      <c r="H319" s="0" t="s">
        <v>10</v>
      </c>
      <c r="I319" s="3" t="n">
        <v>18.2</v>
      </c>
    </row>
    <row r="320" customFormat="false" ht="15" hidden="false" customHeight="false" outlineLevel="0" collapsed="false">
      <c r="A320" s="0" t="n">
        <v>319</v>
      </c>
      <c r="B320" s="2" t="n">
        <v>46084.8958333333</v>
      </c>
      <c r="C320" s="0" t="s">
        <v>9</v>
      </c>
      <c r="D320" s="3" t="n">
        <v>13.8</v>
      </c>
      <c r="E320" s="3" t="n">
        <v>12.9</v>
      </c>
      <c r="F320" s="4" t="n">
        <v>79</v>
      </c>
      <c r="G320" s="4" t="n">
        <v>1014</v>
      </c>
      <c r="H320" s="0" t="s">
        <v>18</v>
      </c>
      <c r="I320" s="3" t="n">
        <v>31.9</v>
      </c>
    </row>
    <row r="321" customFormat="false" ht="15" hidden="false" customHeight="false" outlineLevel="0" collapsed="false">
      <c r="A321" s="0" t="n">
        <v>320</v>
      </c>
      <c r="B321" s="2" t="n">
        <v>46085.5625</v>
      </c>
      <c r="C321" s="0" t="s">
        <v>9</v>
      </c>
      <c r="D321" s="3" t="n">
        <v>13.2</v>
      </c>
      <c r="E321" s="3" t="n">
        <v>13.5</v>
      </c>
      <c r="F321" s="4" t="n">
        <v>71</v>
      </c>
      <c r="G321" s="4" t="n">
        <v>1020</v>
      </c>
      <c r="H321" s="0" t="s">
        <v>10</v>
      </c>
      <c r="I321" s="3" t="n">
        <v>23.6</v>
      </c>
    </row>
    <row r="322" customFormat="false" ht="15" hidden="false" customHeight="false" outlineLevel="0" collapsed="false">
      <c r="A322" s="0" t="n">
        <v>321</v>
      </c>
      <c r="B322" s="2" t="n">
        <v>46086.4375</v>
      </c>
      <c r="C322" s="0" t="s">
        <v>9</v>
      </c>
      <c r="D322" s="3" t="n">
        <v>11.9</v>
      </c>
      <c r="E322" s="3" t="n">
        <v>10.7</v>
      </c>
      <c r="F322" s="4" t="n">
        <v>69</v>
      </c>
      <c r="G322" s="4" t="n">
        <v>1021</v>
      </c>
      <c r="H322" s="0" t="s">
        <v>14</v>
      </c>
      <c r="I322" s="3" t="n">
        <v>23.4</v>
      </c>
    </row>
    <row r="323" customFormat="false" ht="15" hidden="false" customHeight="false" outlineLevel="0" collapsed="false">
      <c r="A323" s="0" t="n">
        <v>322</v>
      </c>
      <c r="B323" s="2" t="n">
        <v>46087.5277777778</v>
      </c>
      <c r="C323" s="0" t="s">
        <v>9</v>
      </c>
      <c r="D323" s="3" t="n">
        <v>14.6</v>
      </c>
      <c r="E323" s="3" t="n">
        <v>15.3</v>
      </c>
      <c r="F323" s="4" t="n">
        <v>90</v>
      </c>
      <c r="G323" s="4" t="n">
        <v>1020</v>
      </c>
      <c r="H323" s="0" t="s">
        <v>10</v>
      </c>
      <c r="I323" s="3" t="n">
        <v>22</v>
      </c>
    </row>
    <row r="324" customFormat="false" ht="15" hidden="false" customHeight="false" outlineLevel="0" collapsed="false">
      <c r="A324" s="0" t="n">
        <v>323</v>
      </c>
      <c r="B324" s="2" t="n">
        <v>46088.4166666667</v>
      </c>
      <c r="C324" s="0" t="s">
        <v>9</v>
      </c>
      <c r="D324" s="3" t="n">
        <v>12.8</v>
      </c>
      <c r="E324" s="3" t="n">
        <v>12.4</v>
      </c>
      <c r="F324" s="4" t="n">
        <v>98</v>
      </c>
      <c r="G324" s="4" t="n">
        <v>1016</v>
      </c>
      <c r="H324" s="0" t="s">
        <v>13</v>
      </c>
      <c r="I324" s="3" t="n">
        <v>17</v>
      </c>
    </row>
    <row r="325" customFormat="false" ht="15" hidden="false" customHeight="false" outlineLevel="0" collapsed="false">
      <c r="A325" s="0" t="n">
        <v>324</v>
      </c>
      <c r="B325" s="2" t="n">
        <v>46089.6041666667</v>
      </c>
      <c r="C325" s="0" t="s">
        <v>9</v>
      </c>
      <c r="D325" s="3" t="n">
        <v>13.7</v>
      </c>
      <c r="E325" s="3" t="n">
        <v>14</v>
      </c>
      <c r="F325" s="4" t="n">
        <v>96</v>
      </c>
      <c r="G325" s="4" t="n">
        <v>1017</v>
      </c>
      <c r="H325" s="0" t="s">
        <v>12</v>
      </c>
      <c r="I325" s="3" t="n">
        <v>17.5</v>
      </c>
    </row>
    <row r="326" customFormat="false" ht="15" hidden="false" customHeight="false" outlineLevel="0" collapsed="false">
      <c r="A326" s="0" t="n">
        <v>325</v>
      </c>
      <c r="B326" s="2" t="n">
        <v>46091.6944444445</v>
      </c>
      <c r="C326" s="0" t="s">
        <v>9</v>
      </c>
      <c r="D326" s="3" t="n">
        <v>14.6</v>
      </c>
      <c r="E326" s="3" t="n">
        <v>15.2</v>
      </c>
      <c r="F326" s="4" t="n">
        <v>83</v>
      </c>
      <c r="G326" s="4" t="n">
        <v>1021</v>
      </c>
      <c r="H326" s="0" t="s">
        <v>16</v>
      </c>
      <c r="I326" s="3" t="n">
        <v>25.4</v>
      </c>
    </row>
    <row r="327" customFormat="false" ht="15" hidden="false" customHeight="false" outlineLevel="0" collapsed="false">
      <c r="A327" s="0" t="n">
        <v>326</v>
      </c>
      <c r="B327" s="2" t="n">
        <v>46092.5833333333</v>
      </c>
      <c r="C327" s="0" t="s">
        <v>9</v>
      </c>
      <c r="D327" s="3" t="n">
        <v>12.7</v>
      </c>
      <c r="E327" s="3" t="n">
        <v>11.7</v>
      </c>
      <c r="F327" s="4" t="n">
        <v>59</v>
      </c>
      <c r="G327" s="4" t="n">
        <v>1017</v>
      </c>
      <c r="H327" s="0" t="s">
        <v>10</v>
      </c>
      <c r="I327" s="3" t="n">
        <v>17.1</v>
      </c>
    </row>
    <row r="328" customFormat="false" ht="15" hidden="false" customHeight="false" outlineLevel="0" collapsed="false">
      <c r="A328" s="0" t="n">
        <v>327</v>
      </c>
      <c r="B328" s="2" t="n">
        <v>46093.6597222222</v>
      </c>
      <c r="C328" s="0" t="s">
        <v>9</v>
      </c>
      <c r="D328" s="3" t="n">
        <v>17</v>
      </c>
      <c r="E328" s="3" t="n">
        <v>17.8</v>
      </c>
      <c r="F328" s="4" t="n">
        <v>74</v>
      </c>
      <c r="G328" s="4" t="n">
        <v>1019</v>
      </c>
      <c r="H328" s="0" t="s">
        <v>10</v>
      </c>
      <c r="I328" s="3" t="n">
        <v>24.3</v>
      </c>
    </row>
    <row r="329" customFormat="false" ht="15" hidden="false" customHeight="false" outlineLevel="0" collapsed="false">
      <c r="A329" s="0" t="n">
        <v>328</v>
      </c>
      <c r="B329" s="2" t="n">
        <v>46094.6527777778</v>
      </c>
      <c r="C329" s="0" t="s">
        <v>9</v>
      </c>
      <c r="D329" s="3" t="n">
        <v>12.2</v>
      </c>
      <c r="E329" s="3" t="n">
        <v>11.1</v>
      </c>
      <c r="F329" s="4" t="n">
        <v>90</v>
      </c>
      <c r="G329" s="4" t="n">
        <v>1014</v>
      </c>
      <c r="H329" s="0" t="s">
        <v>15</v>
      </c>
      <c r="I329" s="3" t="n">
        <v>21.8</v>
      </c>
    </row>
    <row r="330" customFormat="false" ht="15" hidden="false" customHeight="false" outlineLevel="0" collapsed="false">
      <c r="A330" s="0" t="n">
        <v>329</v>
      </c>
      <c r="B330" s="2" t="n">
        <v>46095.8819444445</v>
      </c>
      <c r="C330" s="0" t="s">
        <v>9</v>
      </c>
      <c r="D330" s="3" t="n">
        <v>13.8</v>
      </c>
      <c r="E330" s="3" t="n">
        <v>14.3</v>
      </c>
      <c r="F330" s="4" t="n">
        <v>73</v>
      </c>
      <c r="G330" s="4" t="n">
        <v>1024</v>
      </c>
      <c r="H330" s="0" t="s">
        <v>15</v>
      </c>
      <c r="I330" s="3" t="n">
        <v>27.2</v>
      </c>
    </row>
    <row r="331" customFormat="false" ht="15" hidden="false" customHeight="false" outlineLevel="0" collapsed="false">
      <c r="A331" s="0" t="n">
        <v>330</v>
      </c>
      <c r="B331" s="2" t="n">
        <v>46096.8611111111</v>
      </c>
      <c r="C331" s="0" t="s">
        <v>9</v>
      </c>
      <c r="D331" s="3" t="n">
        <v>17.3</v>
      </c>
      <c r="E331" s="3" t="n">
        <v>16.5</v>
      </c>
      <c r="F331" s="4" t="n">
        <v>93</v>
      </c>
      <c r="G331" s="4" t="n">
        <v>1022</v>
      </c>
      <c r="H331" s="0" t="s">
        <v>15</v>
      </c>
      <c r="I331" s="3" t="n">
        <v>29.6</v>
      </c>
    </row>
    <row r="332" customFormat="false" ht="15" hidden="false" customHeight="false" outlineLevel="0" collapsed="false">
      <c r="A332" s="0" t="n">
        <v>331</v>
      </c>
      <c r="B332" s="2" t="n">
        <v>46097.8888888889</v>
      </c>
      <c r="C332" s="0" t="s">
        <v>9</v>
      </c>
      <c r="D332" s="3" t="n">
        <v>15.6</v>
      </c>
      <c r="E332" s="3" t="n">
        <v>16.1</v>
      </c>
      <c r="F332" s="4" t="n">
        <v>84</v>
      </c>
      <c r="G332" s="4" t="n">
        <v>1018</v>
      </c>
      <c r="H332" s="0" t="s">
        <v>14</v>
      </c>
      <c r="I332" s="3" t="n">
        <v>19.2</v>
      </c>
    </row>
    <row r="333" customFormat="false" ht="15" hidden="false" customHeight="false" outlineLevel="0" collapsed="false">
      <c r="A333" s="0" t="n">
        <v>332</v>
      </c>
      <c r="B333" s="2" t="n">
        <v>46098.6944444445</v>
      </c>
      <c r="C333" s="0" t="s">
        <v>9</v>
      </c>
      <c r="D333" s="3" t="n">
        <v>17.5</v>
      </c>
      <c r="E333" s="3" t="n">
        <v>18.3</v>
      </c>
      <c r="F333" s="4" t="n">
        <v>77</v>
      </c>
      <c r="G333" s="4" t="n">
        <v>1023</v>
      </c>
      <c r="H333" s="0" t="s">
        <v>10</v>
      </c>
      <c r="I333" s="3" t="n">
        <v>20</v>
      </c>
    </row>
    <row r="334" customFormat="false" ht="15" hidden="false" customHeight="false" outlineLevel="0" collapsed="false">
      <c r="A334" s="0" t="n">
        <v>333</v>
      </c>
      <c r="B334" s="2" t="n">
        <v>46099.7708333333</v>
      </c>
      <c r="C334" s="0" t="s">
        <v>9</v>
      </c>
      <c r="D334" s="3" t="n">
        <v>18.4</v>
      </c>
      <c r="E334" s="3" t="n">
        <v>18.9</v>
      </c>
      <c r="F334" s="4" t="n">
        <v>79</v>
      </c>
      <c r="G334" s="4" t="n">
        <v>1020</v>
      </c>
      <c r="H334" s="0" t="s">
        <v>17</v>
      </c>
      <c r="I334" s="3" t="n">
        <v>18.2</v>
      </c>
    </row>
    <row r="335" customFormat="false" ht="15" hidden="false" customHeight="false" outlineLevel="0" collapsed="false">
      <c r="A335" s="0" t="n">
        <v>334</v>
      </c>
      <c r="B335" s="2" t="n">
        <v>46100.6736111111</v>
      </c>
      <c r="C335" s="0" t="s">
        <v>9</v>
      </c>
      <c r="D335" s="3" t="n">
        <v>16.9</v>
      </c>
      <c r="E335" s="3" t="n">
        <v>18.1</v>
      </c>
      <c r="F335" s="4" t="n">
        <v>77</v>
      </c>
      <c r="G335" s="4" t="n">
        <v>1021</v>
      </c>
      <c r="H335" s="0" t="s">
        <v>10</v>
      </c>
      <c r="I335" s="3" t="n">
        <v>18.9</v>
      </c>
    </row>
    <row r="336" customFormat="false" ht="15" hidden="false" customHeight="false" outlineLevel="0" collapsed="false">
      <c r="A336" s="0" t="n">
        <v>335</v>
      </c>
      <c r="B336" s="2" t="n">
        <v>46101.5694444445</v>
      </c>
      <c r="C336" s="0" t="s">
        <v>9</v>
      </c>
      <c r="D336" s="3" t="n">
        <v>15.1</v>
      </c>
      <c r="E336" s="3" t="n">
        <v>15.7</v>
      </c>
      <c r="F336" s="4" t="n">
        <v>89</v>
      </c>
      <c r="G336" s="4" t="n">
        <v>1025</v>
      </c>
      <c r="H336" s="0" t="s">
        <v>16</v>
      </c>
      <c r="I336" s="3" t="n">
        <v>21.4</v>
      </c>
    </row>
    <row r="337" customFormat="false" ht="15" hidden="false" customHeight="false" outlineLevel="0" collapsed="false">
      <c r="A337" s="0" t="n">
        <v>336</v>
      </c>
      <c r="B337" s="2" t="n">
        <v>46102.7569444445</v>
      </c>
      <c r="C337" s="0" t="s">
        <v>9</v>
      </c>
      <c r="D337" s="3" t="n">
        <v>16.2</v>
      </c>
      <c r="E337" s="3" t="n">
        <v>16.8</v>
      </c>
      <c r="F337" s="4" t="n">
        <v>72</v>
      </c>
      <c r="G337" s="4" t="n">
        <v>1014</v>
      </c>
      <c r="H337" s="0" t="s">
        <v>10</v>
      </c>
      <c r="I337" s="3" t="n">
        <v>19.2</v>
      </c>
    </row>
    <row r="338" customFormat="false" ht="15" hidden="false" customHeight="false" outlineLevel="0" collapsed="false">
      <c r="A338" s="0" t="n">
        <v>337</v>
      </c>
      <c r="B338" s="2" t="n">
        <v>46103.7916666667</v>
      </c>
      <c r="C338" s="0" t="s">
        <v>9</v>
      </c>
      <c r="D338" s="3" t="n">
        <v>14.9</v>
      </c>
      <c r="E338" s="3" t="n">
        <v>15.4</v>
      </c>
      <c r="F338" s="4" t="n">
        <v>82</v>
      </c>
      <c r="G338" s="4" t="n">
        <v>1020</v>
      </c>
      <c r="H338" s="0" t="s">
        <v>15</v>
      </c>
      <c r="I338" s="3" t="n">
        <v>19.4</v>
      </c>
    </row>
    <row r="339" customFormat="false" ht="15" hidden="false" customHeight="false" outlineLevel="0" collapsed="false">
      <c r="A339" s="0" t="n">
        <v>338</v>
      </c>
      <c r="B339" s="2" t="n">
        <v>46104.7013888889</v>
      </c>
      <c r="C339" s="0" t="s">
        <v>9</v>
      </c>
      <c r="D339" s="3" t="n">
        <v>15.1</v>
      </c>
      <c r="E339" s="3" t="n">
        <v>14.4</v>
      </c>
      <c r="F339" s="4" t="n">
        <v>92</v>
      </c>
      <c r="G339" s="4" t="n">
        <v>1028</v>
      </c>
      <c r="H339" s="0" t="s">
        <v>10</v>
      </c>
      <c r="I339" s="3" t="n">
        <v>24.8</v>
      </c>
    </row>
    <row r="340" customFormat="false" ht="15" hidden="false" customHeight="false" outlineLevel="0" collapsed="false">
      <c r="A340" s="0" t="n">
        <v>339</v>
      </c>
      <c r="B340" s="2" t="n">
        <v>46105.9097222222</v>
      </c>
      <c r="C340" s="0" t="s">
        <v>9</v>
      </c>
      <c r="D340" s="3" t="n">
        <v>14.6</v>
      </c>
      <c r="E340" s="3" t="n">
        <v>14.6</v>
      </c>
      <c r="F340" s="4" t="n">
        <v>90</v>
      </c>
      <c r="G340" s="4" t="n">
        <v>1018</v>
      </c>
      <c r="H340" s="0" t="s">
        <v>15</v>
      </c>
      <c r="I340" s="3" t="n">
        <v>25.1</v>
      </c>
    </row>
    <row r="341" customFormat="false" ht="15" hidden="false" customHeight="false" outlineLevel="0" collapsed="false">
      <c r="A341" s="0" t="n">
        <v>340</v>
      </c>
      <c r="B341" s="2" t="n">
        <v>46106.7708333333</v>
      </c>
      <c r="C341" s="0" t="s">
        <v>9</v>
      </c>
      <c r="D341" s="3" t="n">
        <v>22.1</v>
      </c>
      <c r="E341" s="3" t="n">
        <v>22.5</v>
      </c>
      <c r="F341" s="4" t="n">
        <v>69</v>
      </c>
      <c r="G341" s="4" t="n">
        <v>1022</v>
      </c>
      <c r="H341" s="0" t="s">
        <v>10</v>
      </c>
      <c r="I341" s="3" t="n">
        <v>18.2</v>
      </c>
    </row>
    <row r="342" customFormat="false" ht="15" hidden="false" customHeight="false" outlineLevel="0" collapsed="false">
      <c r="A342" s="0" t="n">
        <v>341</v>
      </c>
      <c r="B342" s="2" t="n">
        <v>46108.4375</v>
      </c>
      <c r="C342" s="0" t="s">
        <v>9</v>
      </c>
      <c r="D342" s="3" t="n">
        <v>11.8</v>
      </c>
      <c r="E342" s="3" t="n">
        <v>10.8</v>
      </c>
      <c r="F342" s="4" t="n">
        <v>69</v>
      </c>
      <c r="G342" s="4" t="n">
        <v>1017</v>
      </c>
      <c r="H342" s="0" t="s">
        <v>11</v>
      </c>
      <c r="I342" s="3" t="n">
        <v>19.2</v>
      </c>
    </row>
    <row r="343" customFormat="false" ht="15" hidden="false" customHeight="false" outlineLevel="0" collapsed="false">
      <c r="A343" s="0" t="n">
        <v>342</v>
      </c>
      <c r="B343" s="2" t="n">
        <v>46109.2986111111</v>
      </c>
      <c r="C343" s="0" t="s">
        <v>9</v>
      </c>
      <c r="D343" s="3" t="n">
        <v>10.4</v>
      </c>
      <c r="E343" s="3" t="n">
        <v>9.1</v>
      </c>
      <c r="F343" s="4" t="n">
        <v>83</v>
      </c>
      <c r="G343" s="4" t="n">
        <v>1009</v>
      </c>
      <c r="H343" s="0" t="s">
        <v>11</v>
      </c>
      <c r="I343" s="3" t="n">
        <v>22.7</v>
      </c>
    </row>
    <row r="344" customFormat="false" ht="15" hidden="false" customHeight="false" outlineLevel="0" collapsed="false">
      <c r="A344" s="0" t="n">
        <v>343</v>
      </c>
      <c r="B344" s="2" t="n">
        <v>46110.6666666667</v>
      </c>
      <c r="C344" s="0" t="s">
        <v>9</v>
      </c>
      <c r="D344" s="3" t="n">
        <v>17.4</v>
      </c>
      <c r="E344" s="3" t="n">
        <v>18.2</v>
      </c>
      <c r="F344" s="4" t="n">
        <v>92</v>
      </c>
      <c r="G344" s="4" t="n">
        <v>1015</v>
      </c>
      <c r="H344" s="0" t="s">
        <v>12</v>
      </c>
      <c r="I344" s="3" t="n">
        <v>16.2</v>
      </c>
    </row>
    <row r="345" customFormat="false" ht="15" hidden="false" customHeight="false" outlineLevel="0" collapsed="false">
      <c r="A345" s="0" t="n">
        <v>344</v>
      </c>
      <c r="B345" s="2" t="n">
        <v>46111.8333333333</v>
      </c>
      <c r="C345" s="0" t="s">
        <v>9</v>
      </c>
      <c r="D345" s="3" t="n">
        <v>17.6</v>
      </c>
      <c r="E345" s="3" t="n">
        <v>17.4</v>
      </c>
      <c r="F345" s="4" t="n">
        <v>72</v>
      </c>
      <c r="G345" s="4" t="n">
        <v>1017</v>
      </c>
      <c r="H345" s="0" t="s">
        <v>10</v>
      </c>
      <c r="I345" s="3" t="n">
        <v>22.4</v>
      </c>
    </row>
    <row r="346" customFormat="false" ht="15" hidden="false" customHeight="false" outlineLevel="0" collapsed="false">
      <c r="A346" s="0" t="n">
        <v>345</v>
      </c>
      <c r="B346" s="2" t="n">
        <v>46112.8333333333</v>
      </c>
      <c r="C346" s="0" t="s">
        <v>9</v>
      </c>
      <c r="D346" s="3" t="n">
        <v>15.7</v>
      </c>
      <c r="E346" s="3" t="n">
        <v>16.2</v>
      </c>
      <c r="F346" s="4" t="n">
        <v>77</v>
      </c>
      <c r="G346" s="4" t="n">
        <v>1018</v>
      </c>
      <c r="H346" s="0" t="s">
        <v>10</v>
      </c>
      <c r="I346" s="3" t="n">
        <v>22.3</v>
      </c>
    </row>
    <row r="347" customFormat="false" ht="15" hidden="false" customHeight="false" outlineLevel="0" collapsed="false">
      <c r="A347" s="0" t="n">
        <v>346</v>
      </c>
      <c r="B347" s="2" t="n">
        <v>46113.4375</v>
      </c>
      <c r="C347" s="0" t="s">
        <v>9</v>
      </c>
      <c r="D347" s="3" t="n">
        <v>15.3</v>
      </c>
      <c r="E347" s="3" t="n">
        <v>14.5</v>
      </c>
      <c r="F347" s="4" t="n">
        <v>96</v>
      </c>
      <c r="G347" s="4" t="n">
        <v>1011</v>
      </c>
      <c r="H347" s="0" t="s">
        <v>14</v>
      </c>
      <c r="I347" s="3" t="n">
        <v>17</v>
      </c>
    </row>
    <row r="348" customFormat="false" ht="15" hidden="false" customHeight="false" outlineLevel="0" collapsed="false">
      <c r="A348" s="0" t="n">
        <v>347</v>
      </c>
      <c r="B348" s="2" t="n">
        <v>46114.4166666667</v>
      </c>
      <c r="C348" s="0" t="s">
        <v>9</v>
      </c>
      <c r="D348" s="3" t="n">
        <v>15.3</v>
      </c>
      <c r="E348" s="3" t="n">
        <v>14.8</v>
      </c>
      <c r="F348" s="4" t="n">
        <v>87</v>
      </c>
      <c r="G348" s="4" t="n">
        <v>1020</v>
      </c>
      <c r="H348" s="0" t="s">
        <v>10</v>
      </c>
      <c r="I348" s="3" t="n">
        <v>25.1</v>
      </c>
    </row>
    <row r="349" customFormat="false" ht="15" hidden="false" customHeight="false" outlineLevel="0" collapsed="false">
      <c r="A349" s="0" t="n">
        <v>348</v>
      </c>
      <c r="B349" s="2" t="n">
        <v>46115.8888888889</v>
      </c>
      <c r="C349" s="0" t="s">
        <v>9</v>
      </c>
      <c r="D349" s="3" t="n">
        <v>20.6</v>
      </c>
      <c r="E349" s="3" t="n">
        <v>20.2</v>
      </c>
      <c r="F349" s="4" t="n">
        <v>82</v>
      </c>
      <c r="G349" s="4" t="n">
        <v>1017</v>
      </c>
      <c r="H349" s="0" t="s">
        <v>12</v>
      </c>
      <c r="I349" s="3" t="n">
        <v>16</v>
      </c>
    </row>
    <row r="350" customFormat="false" ht="15" hidden="false" customHeight="false" outlineLevel="0" collapsed="false">
      <c r="A350" s="0" t="n">
        <v>349</v>
      </c>
      <c r="B350" s="2" t="n">
        <v>46116.6944444445</v>
      </c>
      <c r="C350" s="0" t="s">
        <v>9</v>
      </c>
      <c r="D350" s="3" t="n">
        <v>14.4</v>
      </c>
      <c r="E350" s="3" t="n">
        <v>15.3</v>
      </c>
      <c r="F350" s="4" t="n">
        <v>83</v>
      </c>
      <c r="G350" s="4" t="n">
        <v>1014</v>
      </c>
      <c r="H350" s="0" t="s">
        <v>13</v>
      </c>
      <c r="I350" s="3" t="n">
        <v>17.7</v>
      </c>
    </row>
    <row r="351" customFormat="false" ht="15" hidden="false" customHeight="false" outlineLevel="0" collapsed="false">
      <c r="A351" s="0" t="n">
        <v>350</v>
      </c>
      <c r="B351" s="2" t="n">
        <v>46117.7847222222</v>
      </c>
      <c r="C351" s="0" t="s">
        <v>9</v>
      </c>
      <c r="D351" s="3" t="n">
        <v>18.1</v>
      </c>
      <c r="E351" s="3" t="n">
        <v>19.1</v>
      </c>
      <c r="F351" s="4" t="n">
        <v>79</v>
      </c>
      <c r="G351" s="4" t="n">
        <v>1018</v>
      </c>
      <c r="H351" s="0" t="s">
        <v>10</v>
      </c>
      <c r="I351" s="3" t="n">
        <v>16.8</v>
      </c>
    </row>
  </sheetData>
  <conditionalFormatting sqref="D2:D351">
    <cfRule type="colorScale" priority="2">
      <colorScale>
        <cfvo type="num" val="8"/>
        <cfvo type="num" val="18"/>
        <cfvo type="num" val="32"/>
        <color rgb="FF5B9BD5"/>
        <color rgb="FFFFF2CC"/>
        <color rgb="FFED7D31"/>
      </colorScale>
    </cfRule>
  </conditionalFormatting>
  <conditionalFormatting sqref="F2:F351">
    <cfRule type="colorScale" priority="3">
      <colorScale>
        <cfvo type="num" val="40"/>
        <cfvo type="num" val="70"/>
        <cfvo type="num" val="95"/>
        <color rgb="FFE2F0D9"/>
        <color rgb="FFFFF2CC"/>
        <color rgb="FFF4CCCC"/>
      </colorScale>
    </cfRule>
  </conditionalFormatting>
  <conditionalFormatting sqref="I2:I351">
    <cfRule type="colorScale" priority="4">
      <colorScale>
        <cfvo type="num" val="5"/>
        <cfvo type="num" val="18"/>
        <cfvo type="num" val="40"/>
        <color rgb="FFE2F0D9"/>
        <color rgb="FFD9EAF7"/>
        <color rgb="FF9FC5E8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4" min="3" style="0" width="14"/>
  </cols>
  <sheetData>
    <row r="1" customFormat="false" ht="17.35" hidden="false" customHeight="false" outlineLevel="0" collapsed="false">
      <c r="A1" s="5" t="s">
        <v>20</v>
      </c>
      <c r="B1" s="5"/>
      <c r="C1" s="5"/>
      <c r="D1" s="5"/>
    </row>
    <row r="3" customFormat="false" ht="15" hidden="false" customHeight="false" outlineLevel="0" collapsed="false">
      <c r="A3" s="6" t="s">
        <v>21</v>
      </c>
      <c r="B3" s="0" t="s">
        <v>9</v>
      </c>
    </row>
    <row r="4" customFormat="false" ht="15" hidden="false" customHeight="false" outlineLevel="0" collapsed="false">
      <c r="A4" s="6" t="s">
        <v>22</v>
      </c>
      <c r="B4" s="0" t="n">
        <v>350</v>
      </c>
    </row>
    <row r="5" customFormat="false" ht="15" hidden="false" customHeight="false" outlineLevel="0" collapsed="false">
      <c r="A5" s="6" t="s">
        <v>23</v>
      </c>
      <c r="B5" s="7" t="n">
        <v>45754</v>
      </c>
      <c r="C5" s="7" t="n">
        <v>46117</v>
      </c>
    </row>
    <row r="6" customFormat="false" ht="15" hidden="false" customHeight="false" outlineLevel="0" collapsed="false">
      <c r="A6" s="6" t="s">
        <v>24</v>
      </c>
      <c r="B6" s="0" t="s">
        <v>25</v>
      </c>
    </row>
    <row r="7" customFormat="false" ht="15" hidden="false" customHeight="false" outlineLevel="0" collapsed="false">
      <c r="A7" s="6" t="s">
        <v>26</v>
      </c>
      <c r="B7" s="0" t="s">
        <v>27</v>
      </c>
    </row>
    <row r="9" customFormat="false" ht="15" hidden="false" customHeight="false" outlineLevel="0" collapsed="false">
      <c r="A9" s="6" t="s">
        <v>28</v>
      </c>
      <c r="B9" s="0" t="s">
        <v>29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10" min="8" style="0" width="10"/>
  </cols>
  <sheetData>
    <row r="1" customFormat="false" ht="15" hidden="false" customHeight="false" outlineLevel="0" collapsed="false">
      <c r="A1" s="1" t="s">
        <v>1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customFormat="false" ht="15" hidden="false" customHeight="false" outlineLevel="0" collapsed="false">
      <c r="A2" s="8" t="n">
        <f aca="false">weather_data!B2</f>
        <v>45754.5902777778</v>
      </c>
      <c r="B2" s="9" t="n">
        <f aca="false">INT(A2)</f>
        <v>45754</v>
      </c>
      <c r="C2" s="10" t="str">
        <f aca="false">TEXT(B2,"yyyy-mm")</f>
        <v>2025-04</v>
      </c>
      <c r="D2" s="10" t="n">
        <f aca="false">MONTH(B2)</f>
        <v>4</v>
      </c>
      <c r="E2" s="10" t="str">
        <f aca="false">TEXT(B2,"mmmm")</f>
        <v>kwiecień</v>
      </c>
      <c r="F2" s="10" t="str">
        <f aca="false">"Q"&amp;ROUNDUP(D2/3,0)</f>
        <v>Q2</v>
      </c>
      <c r="G2" s="10" t="str">
        <f aca="false">IF(OR(D2=12,D2&lt;=2),"Winter",IF(D2&lt;=5,"Spring",IF(D2&lt;=8,"Summer","Autumn")))</f>
        <v>Spring</v>
      </c>
      <c r="H2" s="11" t="n">
        <f aca="false">weather_data!E2-weather_data!D2</f>
        <v>-1</v>
      </c>
      <c r="I2" s="10" t="n">
        <f aca="false">IF(OR(weather_data!H2="light rain",weather_data!H2="moderate rain",weather_data!H2="drizzle",weather_data!H2="thunderstorm"),1,0)</f>
        <v>0</v>
      </c>
      <c r="J2" s="10" t="n">
        <f aca="false">IF(weather_data!I2&gt;=25,1,0)</f>
        <v>0</v>
      </c>
    </row>
    <row r="3" customFormat="false" ht="15" hidden="false" customHeight="false" outlineLevel="0" collapsed="false">
      <c r="A3" s="8" t="n">
        <f aca="false">weather_data!B3</f>
        <v>45755.7083333333</v>
      </c>
      <c r="B3" s="9" t="n">
        <f aca="false">INT(A3)</f>
        <v>45755</v>
      </c>
      <c r="C3" s="10" t="str">
        <f aca="false">TEXT(B3,"yyyy-mm")</f>
        <v>2025-04</v>
      </c>
      <c r="D3" s="10" t="n">
        <f aca="false">MONTH(B3)</f>
        <v>4</v>
      </c>
      <c r="E3" s="10" t="str">
        <f aca="false">TEXT(B3,"mmmm")</f>
        <v>kwiecień</v>
      </c>
      <c r="F3" s="10" t="str">
        <f aca="false">"Q"&amp;ROUNDUP(D3/3,0)</f>
        <v>Q2</v>
      </c>
      <c r="G3" s="10" t="str">
        <f aca="false">IF(OR(D3=12,D3&lt;=2),"Winter",IF(D3&lt;=5,"Spring",IF(D3&lt;=8,"Summer","Autumn")))</f>
        <v>Spring</v>
      </c>
      <c r="H3" s="11" t="n">
        <f aca="false">weather_data!E3-weather_data!D3</f>
        <v>0.199999999999999</v>
      </c>
      <c r="I3" s="10" t="n">
        <f aca="false">IF(OR(weather_data!H3="light rain",weather_data!H3="moderate rain",weather_data!H3="drizzle",weather_data!H3="thunderstorm"),1,0)</f>
        <v>1</v>
      </c>
      <c r="J3" s="10" t="n">
        <f aca="false">IF(weather_data!I3&gt;=25,1,0)</f>
        <v>1</v>
      </c>
    </row>
    <row r="4" customFormat="false" ht="15" hidden="false" customHeight="false" outlineLevel="0" collapsed="false">
      <c r="A4" s="8" t="n">
        <f aca="false">weather_data!B4</f>
        <v>45756.5555555556</v>
      </c>
      <c r="B4" s="9" t="n">
        <f aca="false">INT(A4)</f>
        <v>45756</v>
      </c>
      <c r="C4" s="10" t="str">
        <f aca="false">TEXT(B4,"yyyy-mm")</f>
        <v>2025-04</v>
      </c>
      <c r="D4" s="10" t="n">
        <f aca="false">MONTH(B4)</f>
        <v>4</v>
      </c>
      <c r="E4" s="10" t="str">
        <f aca="false">TEXT(B4,"mmmm")</f>
        <v>kwiecień</v>
      </c>
      <c r="F4" s="10" t="str">
        <f aca="false">"Q"&amp;ROUNDUP(D4/3,0)</f>
        <v>Q2</v>
      </c>
      <c r="G4" s="10" t="str">
        <f aca="false">IF(OR(D4=12,D4&lt;=2),"Winter",IF(D4&lt;=5,"Spring",IF(D4&lt;=8,"Summer","Autumn")))</f>
        <v>Spring</v>
      </c>
      <c r="H4" s="11" t="n">
        <f aca="false">weather_data!E4-weather_data!D4</f>
        <v>-0.9</v>
      </c>
      <c r="I4" s="10" t="n">
        <f aca="false">IF(OR(weather_data!H4="light rain",weather_data!H4="moderate rain",weather_data!H4="drizzle",weather_data!H4="thunderstorm"),1,0)</f>
        <v>0</v>
      </c>
      <c r="J4" s="10" t="n">
        <f aca="false">IF(weather_data!I4&gt;=25,1,0)</f>
        <v>0</v>
      </c>
    </row>
    <row r="5" customFormat="false" ht="15" hidden="false" customHeight="false" outlineLevel="0" collapsed="false">
      <c r="A5" s="8" t="n">
        <f aca="false">weather_data!B5</f>
        <v>45757.6319444445</v>
      </c>
      <c r="B5" s="9" t="n">
        <f aca="false">INT(A5)</f>
        <v>45757</v>
      </c>
      <c r="C5" s="10" t="str">
        <f aca="false">TEXT(B5,"yyyy-mm")</f>
        <v>2025-04</v>
      </c>
      <c r="D5" s="10" t="n">
        <f aca="false">MONTH(B5)</f>
        <v>4</v>
      </c>
      <c r="E5" s="10" t="str">
        <f aca="false">TEXT(B5,"mmmm")</f>
        <v>kwiecień</v>
      </c>
      <c r="F5" s="10" t="str">
        <f aca="false">"Q"&amp;ROUNDUP(D5/3,0)</f>
        <v>Q2</v>
      </c>
      <c r="G5" s="10" t="str">
        <f aca="false">IF(OR(D5=12,D5&lt;=2),"Winter",IF(D5&lt;=5,"Spring",IF(D5&lt;=8,"Summer","Autumn")))</f>
        <v>Spring</v>
      </c>
      <c r="H5" s="11" t="n">
        <f aca="false">weather_data!E5-weather_data!D5</f>
        <v>0.599999999999998</v>
      </c>
      <c r="I5" s="10" t="n">
        <f aca="false">IF(OR(weather_data!H5="light rain",weather_data!H5="moderate rain",weather_data!H5="drizzle",weather_data!H5="thunderstorm"),1,0)</f>
        <v>0</v>
      </c>
      <c r="J5" s="10" t="n">
        <f aca="false">IF(weather_data!I5&gt;=25,1,0)</f>
        <v>0</v>
      </c>
    </row>
    <row r="6" customFormat="false" ht="15" hidden="false" customHeight="false" outlineLevel="0" collapsed="false">
      <c r="A6" s="8" t="n">
        <f aca="false">weather_data!B6</f>
        <v>45758.8611111111</v>
      </c>
      <c r="B6" s="9" t="n">
        <f aca="false">INT(A6)</f>
        <v>45758</v>
      </c>
      <c r="C6" s="10" t="str">
        <f aca="false">TEXT(B6,"yyyy-mm")</f>
        <v>2025-04</v>
      </c>
      <c r="D6" s="10" t="n">
        <f aca="false">MONTH(B6)</f>
        <v>4</v>
      </c>
      <c r="E6" s="10" t="str">
        <f aca="false">TEXT(B6,"mmmm")</f>
        <v>kwiecień</v>
      </c>
      <c r="F6" s="10" t="str">
        <f aca="false">"Q"&amp;ROUNDUP(D6/3,0)</f>
        <v>Q2</v>
      </c>
      <c r="G6" s="10" t="str">
        <f aca="false">IF(OR(D6=12,D6&lt;=2),"Winter",IF(D6&lt;=5,"Spring",IF(D6&lt;=8,"Summer","Autumn")))</f>
        <v>Spring</v>
      </c>
      <c r="H6" s="11" t="n">
        <f aca="false">weather_data!E6-weather_data!D6</f>
        <v>0.199999999999999</v>
      </c>
      <c r="I6" s="10" t="n">
        <f aca="false">IF(OR(weather_data!H6="light rain",weather_data!H6="moderate rain",weather_data!H6="drizzle",weather_data!H6="thunderstorm"),1,0)</f>
        <v>0</v>
      </c>
      <c r="J6" s="10" t="n">
        <f aca="false">IF(weather_data!I6&gt;=25,1,0)</f>
        <v>0</v>
      </c>
    </row>
    <row r="7" customFormat="false" ht="15" hidden="false" customHeight="false" outlineLevel="0" collapsed="false">
      <c r="A7" s="8" t="n">
        <f aca="false">weather_data!B7</f>
        <v>45759.6527777778</v>
      </c>
      <c r="B7" s="9" t="n">
        <f aca="false">INT(A7)</f>
        <v>45759</v>
      </c>
      <c r="C7" s="10" t="str">
        <f aca="false">TEXT(B7,"yyyy-mm")</f>
        <v>2025-04</v>
      </c>
      <c r="D7" s="10" t="n">
        <f aca="false">MONTH(B7)</f>
        <v>4</v>
      </c>
      <c r="E7" s="10" t="str">
        <f aca="false">TEXT(B7,"mmmm")</f>
        <v>kwiecień</v>
      </c>
      <c r="F7" s="10" t="str">
        <f aca="false">"Q"&amp;ROUNDUP(D7/3,0)</f>
        <v>Q2</v>
      </c>
      <c r="G7" s="10" t="str">
        <f aca="false">IF(OR(D7=12,D7&lt;=2),"Winter",IF(D7&lt;=5,"Spring",IF(D7&lt;=8,"Summer","Autumn")))</f>
        <v>Spring</v>
      </c>
      <c r="H7" s="11" t="n">
        <f aca="false">weather_data!E7-weather_data!D7</f>
        <v>0.799999999999997</v>
      </c>
      <c r="I7" s="10" t="n">
        <f aca="false">IF(OR(weather_data!H7="light rain",weather_data!H7="moderate rain",weather_data!H7="drizzle",weather_data!H7="thunderstorm"),1,0)</f>
        <v>1</v>
      </c>
      <c r="J7" s="10" t="n">
        <f aca="false">IF(weather_data!I7&gt;=25,1,0)</f>
        <v>0</v>
      </c>
    </row>
    <row r="8" customFormat="false" ht="15" hidden="false" customHeight="false" outlineLevel="0" collapsed="false">
      <c r="A8" s="8" t="n">
        <f aca="false">weather_data!B8</f>
        <v>45760.2847222222</v>
      </c>
      <c r="B8" s="9" t="n">
        <f aca="false">INT(A8)</f>
        <v>45760</v>
      </c>
      <c r="C8" s="10" t="str">
        <f aca="false">TEXT(B8,"yyyy-mm")</f>
        <v>2025-04</v>
      </c>
      <c r="D8" s="10" t="n">
        <f aca="false">MONTH(B8)</f>
        <v>4</v>
      </c>
      <c r="E8" s="10" t="str">
        <f aca="false">TEXT(B8,"mmmm")</f>
        <v>kwiecień</v>
      </c>
      <c r="F8" s="10" t="str">
        <f aca="false">"Q"&amp;ROUNDUP(D8/3,0)</f>
        <v>Q2</v>
      </c>
      <c r="G8" s="10" t="str">
        <f aca="false">IF(OR(D8=12,D8&lt;=2),"Winter",IF(D8&lt;=5,"Spring",IF(D8&lt;=8,"Summer","Autumn")))</f>
        <v>Spring</v>
      </c>
      <c r="H8" s="11" t="n">
        <f aca="false">weather_data!E8-weather_data!D8</f>
        <v>0.0999999999999996</v>
      </c>
      <c r="I8" s="10" t="n">
        <f aca="false">IF(OR(weather_data!H8="light rain",weather_data!H8="moderate rain",weather_data!H8="drizzle",weather_data!H8="thunderstorm"),1,0)</f>
        <v>0</v>
      </c>
      <c r="J8" s="10" t="n">
        <f aca="false">IF(weather_data!I8&gt;=25,1,0)</f>
        <v>0</v>
      </c>
    </row>
    <row r="9" customFormat="false" ht="15" hidden="false" customHeight="false" outlineLevel="0" collapsed="false">
      <c r="A9" s="8" t="n">
        <f aca="false">weather_data!B9</f>
        <v>45761.6597222222</v>
      </c>
      <c r="B9" s="9" t="n">
        <f aca="false">INT(A9)</f>
        <v>45761</v>
      </c>
      <c r="C9" s="10" t="str">
        <f aca="false">TEXT(B9,"yyyy-mm")</f>
        <v>2025-04</v>
      </c>
      <c r="D9" s="10" t="n">
        <f aca="false">MONTH(B9)</f>
        <v>4</v>
      </c>
      <c r="E9" s="10" t="str">
        <f aca="false">TEXT(B9,"mmmm")</f>
        <v>kwiecień</v>
      </c>
      <c r="F9" s="10" t="str">
        <f aca="false">"Q"&amp;ROUNDUP(D9/3,0)</f>
        <v>Q2</v>
      </c>
      <c r="G9" s="10" t="str">
        <f aca="false">IF(OR(D9=12,D9&lt;=2),"Winter",IF(D9&lt;=5,"Spring",IF(D9&lt;=8,"Summer","Autumn")))</f>
        <v>Spring</v>
      </c>
      <c r="H9" s="11" t="n">
        <f aca="false">weather_data!E9-weather_data!D9</f>
        <v>0.699999999999999</v>
      </c>
      <c r="I9" s="10" t="n">
        <f aca="false">IF(OR(weather_data!H9="light rain",weather_data!H9="moderate rain",weather_data!H9="drizzle",weather_data!H9="thunderstorm"),1,0)</f>
        <v>0</v>
      </c>
      <c r="J9" s="10" t="n">
        <f aca="false">IF(weather_data!I9&gt;=25,1,0)</f>
        <v>1</v>
      </c>
    </row>
    <row r="10" customFormat="false" ht="15" hidden="false" customHeight="false" outlineLevel="0" collapsed="false">
      <c r="A10" s="8" t="n">
        <f aca="false">weather_data!B10</f>
        <v>45762.3819444445</v>
      </c>
      <c r="B10" s="9" t="n">
        <f aca="false">INT(A10)</f>
        <v>45762</v>
      </c>
      <c r="C10" s="10" t="str">
        <f aca="false">TEXT(B10,"yyyy-mm")</f>
        <v>2025-04</v>
      </c>
      <c r="D10" s="10" t="n">
        <f aca="false">MONTH(B10)</f>
        <v>4</v>
      </c>
      <c r="E10" s="10" t="str">
        <f aca="false">TEXT(B10,"mmmm")</f>
        <v>kwiecień</v>
      </c>
      <c r="F10" s="10" t="str">
        <f aca="false">"Q"&amp;ROUNDUP(D10/3,0)</f>
        <v>Q2</v>
      </c>
      <c r="G10" s="10" t="str">
        <f aca="false">IF(OR(D10=12,D10&lt;=2),"Winter",IF(D10&lt;=5,"Spring",IF(D10&lt;=8,"Summer","Autumn")))</f>
        <v>Spring</v>
      </c>
      <c r="H10" s="11" t="n">
        <f aca="false">weather_data!E10-weather_data!D10</f>
        <v>0</v>
      </c>
      <c r="I10" s="10" t="n">
        <f aca="false">IF(OR(weather_data!H10="light rain",weather_data!H10="moderate rain",weather_data!H10="drizzle",weather_data!H10="thunderstorm"),1,0)</f>
        <v>1</v>
      </c>
      <c r="J10" s="10" t="n">
        <f aca="false">IF(weather_data!I10&gt;=25,1,0)</f>
        <v>1</v>
      </c>
    </row>
    <row r="11" customFormat="false" ht="15" hidden="false" customHeight="false" outlineLevel="0" collapsed="false">
      <c r="A11" s="8" t="n">
        <f aca="false">weather_data!B11</f>
        <v>45763.5833333333</v>
      </c>
      <c r="B11" s="9" t="n">
        <f aca="false">INT(A11)</f>
        <v>45763</v>
      </c>
      <c r="C11" s="10" t="str">
        <f aca="false">TEXT(B11,"yyyy-mm")</f>
        <v>2025-04</v>
      </c>
      <c r="D11" s="10" t="n">
        <f aca="false">MONTH(B11)</f>
        <v>4</v>
      </c>
      <c r="E11" s="10" t="str">
        <f aca="false">TEXT(B11,"mmmm")</f>
        <v>kwiecień</v>
      </c>
      <c r="F11" s="10" t="str">
        <f aca="false">"Q"&amp;ROUNDUP(D11/3,0)</f>
        <v>Q2</v>
      </c>
      <c r="G11" s="10" t="str">
        <f aca="false">IF(OR(D11=12,D11&lt;=2),"Winter",IF(D11&lt;=5,"Spring",IF(D11&lt;=8,"Summer","Autumn")))</f>
        <v>Spring</v>
      </c>
      <c r="H11" s="11" t="n">
        <f aca="false">weather_data!E11-weather_data!D11</f>
        <v>-0.199999999999999</v>
      </c>
      <c r="I11" s="10" t="n">
        <f aca="false">IF(OR(weather_data!H11="light rain",weather_data!H11="moderate rain",weather_data!H11="drizzle",weather_data!H11="thunderstorm"),1,0)</f>
        <v>0</v>
      </c>
      <c r="J11" s="10" t="n">
        <f aca="false">IF(weather_data!I11&gt;=25,1,0)</f>
        <v>0</v>
      </c>
    </row>
    <row r="12" customFormat="false" ht="15" hidden="false" customHeight="false" outlineLevel="0" collapsed="false">
      <c r="A12" s="8" t="n">
        <f aca="false">weather_data!B12</f>
        <v>45764.4097222222</v>
      </c>
      <c r="B12" s="9" t="n">
        <f aca="false">INT(A12)</f>
        <v>45764</v>
      </c>
      <c r="C12" s="10" t="str">
        <f aca="false">TEXT(B12,"yyyy-mm")</f>
        <v>2025-04</v>
      </c>
      <c r="D12" s="10" t="n">
        <f aca="false">MONTH(B12)</f>
        <v>4</v>
      </c>
      <c r="E12" s="10" t="str">
        <f aca="false">TEXT(B12,"mmmm")</f>
        <v>kwiecień</v>
      </c>
      <c r="F12" s="10" t="str">
        <f aca="false">"Q"&amp;ROUNDUP(D12/3,0)</f>
        <v>Q2</v>
      </c>
      <c r="G12" s="10" t="str">
        <f aca="false">IF(OR(D12=12,D12&lt;=2),"Winter",IF(D12&lt;=5,"Spring",IF(D12&lt;=8,"Summer","Autumn")))</f>
        <v>Spring</v>
      </c>
      <c r="H12" s="11" t="n">
        <f aca="false">weather_data!E12-weather_data!D12</f>
        <v>-0.800000000000001</v>
      </c>
      <c r="I12" s="10" t="n">
        <f aca="false">IF(OR(weather_data!H12="light rain",weather_data!H12="moderate rain",weather_data!H12="drizzle",weather_data!H12="thunderstorm"),1,0)</f>
        <v>0</v>
      </c>
      <c r="J12" s="10" t="n">
        <f aca="false">IF(weather_data!I12&gt;=25,1,0)</f>
        <v>0</v>
      </c>
    </row>
    <row r="13" customFormat="false" ht="15" hidden="false" customHeight="false" outlineLevel="0" collapsed="false">
      <c r="A13" s="8" t="n">
        <f aca="false">weather_data!B13</f>
        <v>45765.4305555556</v>
      </c>
      <c r="B13" s="9" t="n">
        <f aca="false">INT(A13)</f>
        <v>45765</v>
      </c>
      <c r="C13" s="10" t="str">
        <f aca="false">TEXT(B13,"yyyy-mm")</f>
        <v>2025-04</v>
      </c>
      <c r="D13" s="10" t="n">
        <f aca="false">MONTH(B13)</f>
        <v>4</v>
      </c>
      <c r="E13" s="10" t="str">
        <f aca="false">TEXT(B13,"mmmm")</f>
        <v>kwiecień</v>
      </c>
      <c r="F13" s="10" t="str">
        <f aca="false">"Q"&amp;ROUNDUP(D13/3,0)</f>
        <v>Q2</v>
      </c>
      <c r="G13" s="10" t="str">
        <f aca="false">IF(OR(D13=12,D13&lt;=2),"Winter",IF(D13&lt;=5,"Spring",IF(D13&lt;=8,"Summer","Autumn")))</f>
        <v>Spring</v>
      </c>
      <c r="H13" s="11" t="n">
        <f aca="false">weather_data!E13-weather_data!D13</f>
        <v>0</v>
      </c>
      <c r="I13" s="10" t="n">
        <f aca="false">IF(OR(weather_data!H13="light rain",weather_data!H13="moderate rain",weather_data!H13="drizzle",weather_data!H13="thunderstorm"),1,0)</f>
        <v>0</v>
      </c>
      <c r="J13" s="10" t="n">
        <f aca="false">IF(weather_data!I13&gt;=25,1,0)</f>
        <v>0</v>
      </c>
    </row>
    <row r="14" customFormat="false" ht="15" hidden="false" customHeight="false" outlineLevel="0" collapsed="false">
      <c r="A14" s="8" t="n">
        <f aca="false">weather_data!B14</f>
        <v>45766.6527777778</v>
      </c>
      <c r="B14" s="9" t="n">
        <f aca="false">INT(A14)</f>
        <v>45766</v>
      </c>
      <c r="C14" s="10" t="str">
        <f aca="false">TEXT(B14,"yyyy-mm")</f>
        <v>2025-04</v>
      </c>
      <c r="D14" s="10" t="n">
        <f aca="false">MONTH(B14)</f>
        <v>4</v>
      </c>
      <c r="E14" s="10" t="str">
        <f aca="false">TEXT(B14,"mmmm")</f>
        <v>kwiecień</v>
      </c>
      <c r="F14" s="10" t="str">
        <f aca="false">"Q"&amp;ROUNDUP(D14/3,0)</f>
        <v>Q2</v>
      </c>
      <c r="G14" s="10" t="str">
        <f aca="false">IF(OR(D14=12,D14&lt;=2),"Winter",IF(D14&lt;=5,"Spring",IF(D14&lt;=8,"Summer","Autumn")))</f>
        <v>Spring</v>
      </c>
      <c r="H14" s="11" t="n">
        <f aca="false">weather_data!E14-weather_data!D14</f>
        <v>-0.800000000000001</v>
      </c>
      <c r="I14" s="10" t="n">
        <f aca="false">IF(OR(weather_data!H14="light rain",weather_data!H14="moderate rain",weather_data!H14="drizzle",weather_data!H14="thunderstorm"),1,0)</f>
        <v>1</v>
      </c>
      <c r="J14" s="10" t="n">
        <f aca="false">IF(weather_data!I14&gt;=25,1,0)</f>
        <v>0</v>
      </c>
    </row>
    <row r="15" customFormat="false" ht="15" hidden="false" customHeight="false" outlineLevel="0" collapsed="false">
      <c r="A15" s="8" t="n">
        <f aca="false">weather_data!B15</f>
        <v>45767.5347222222</v>
      </c>
      <c r="B15" s="9" t="n">
        <f aca="false">INT(A15)</f>
        <v>45767</v>
      </c>
      <c r="C15" s="10" t="str">
        <f aca="false">TEXT(B15,"yyyy-mm")</f>
        <v>2025-04</v>
      </c>
      <c r="D15" s="10" t="n">
        <f aca="false">MONTH(B15)</f>
        <v>4</v>
      </c>
      <c r="E15" s="10" t="str">
        <f aca="false">TEXT(B15,"mmmm")</f>
        <v>kwiecień</v>
      </c>
      <c r="F15" s="10" t="str">
        <f aca="false">"Q"&amp;ROUNDUP(D15/3,0)</f>
        <v>Q2</v>
      </c>
      <c r="G15" s="10" t="str">
        <f aca="false">IF(OR(D15=12,D15&lt;=2),"Winter",IF(D15&lt;=5,"Spring",IF(D15&lt;=8,"Summer","Autumn")))</f>
        <v>Spring</v>
      </c>
      <c r="H15" s="11" t="n">
        <f aca="false">weather_data!E15-weather_data!D15</f>
        <v>0.300000000000001</v>
      </c>
      <c r="I15" s="10" t="n">
        <f aca="false">IF(OR(weather_data!H15="light rain",weather_data!H15="moderate rain",weather_data!H15="drizzle",weather_data!H15="thunderstorm"),1,0)</f>
        <v>0</v>
      </c>
      <c r="J15" s="10" t="n">
        <f aca="false">IF(weather_data!I15&gt;=25,1,0)</f>
        <v>1</v>
      </c>
    </row>
    <row r="16" customFormat="false" ht="15" hidden="false" customHeight="false" outlineLevel="0" collapsed="false">
      <c r="A16" s="8" t="n">
        <f aca="false">weather_data!B16</f>
        <v>45768.6736111111</v>
      </c>
      <c r="B16" s="9" t="n">
        <f aca="false">INT(A16)</f>
        <v>45768</v>
      </c>
      <c r="C16" s="10" t="str">
        <f aca="false">TEXT(B16,"yyyy-mm")</f>
        <v>2025-04</v>
      </c>
      <c r="D16" s="10" t="n">
        <f aca="false">MONTH(B16)</f>
        <v>4</v>
      </c>
      <c r="E16" s="10" t="str">
        <f aca="false">TEXT(B16,"mmmm")</f>
        <v>kwiecień</v>
      </c>
      <c r="F16" s="10" t="str">
        <f aca="false">"Q"&amp;ROUNDUP(D16/3,0)</f>
        <v>Q2</v>
      </c>
      <c r="G16" s="10" t="str">
        <f aca="false">IF(OR(D16=12,D16&lt;=2),"Winter",IF(D16&lt;=5,"Spring",IF(D16&lt;=8,"Summer","Autumn")))</f>
        <v>Spring</v>
      </c>
      <c r="H16" s="11" t="n">
        <f aca="false">weather_data!E16-weather_data!D16</f>
        <v>1</v>
      </c>
      <c r="I16" s="10" t="n">
        <f aca="false">IF(OR(weather_data!H16="light rain",weather_data!H16="moderate rain",weather_data!H16="drizzle",weather_data!H16="thunderstorm"),1,0)</f>
        <v>0</v>
      </c>
      <c r="J16" s="10" t="n">
        <f aca="false">IF(weather_data!I16&gt;=25,1,0)</f>
        <v>0</v>
      </c>
    </row>
    <row r="17" customFormat="false" ht="15" hidden="false" customHeight="false" outlineLevel="0" collapsed="false">
      <c r="A17" s="8" t="n">
        <f aca="false">weather_data!B17</f>
        <v>45769.6111111111</v>
      </c>
      <c r="B17" s="9" t="n">
        <f aca="false">INT(A17)</f>
        <v>45769</v>
      </c>
      <c r="C17" s="10" t="str">
        <f aca="false">TEXT(B17,"yyyy-mm")</f>
        <v>2025-04</v>
      </c>
      <c r="D17" s="10" t="n">
        <f aca="false">MONTH(B17)</f>
        <v>4</v>
      </c>
      <c r="E17" s="10" t="str">
        <f aca="false">TEXT(B17,"mmmm")</f>
        <v>kwiecień</v>
      </c>
      <c r="F17" s="10" t="str">
        <f aca="false">"Q"&amp;ROUNDUP(D17/3,0)</f>
        <v>Q2</v>
      </c>
      <c r="G17" s="10" t="str">
        <f aca="false">IF(OR(D17=12,D17&lt;=2),"Winter",IF(D17&lt;=5,"Spring",IF(D17&lt;=8,"Summer","Autumn")))</f>
        <v>Spring</v>
      </c>
      <c r="H17" s="11" t="n">
        <f aca="false">weather_data!E17-weather_data!D17</f>
        <v>-1</v>
      </c>
      <c r="I17" s="10" t="n">
        <f aca="false">IF(OR(weather_data!H17="light rain",weather_data!H17="moderate rain",weather_data!H17="drizzle",weather_data!H17="thunderstorm"),1,0)</f>
        <v>1</v>
      </c>
      <c r="J17" s="10" t="n">
        <f aca="false">IF(weather_data!I17&gt;=25,1,0)</f>
        <v>0</v>
      </c>
    </row>
    <row r="18" customFormat="false" ht="15" hidden="false" customHeight="false" outlineLevel="0" collapsed="false">
      <c r="A18" s="8" t="n">
        <f aca="false">weather_data!B18</f>
        <v>45770.8888888889</v>
      </c>
      <c r="B18" s="9" t="n">
        <f aca="false">INT(A18)</f>
        <v>45770</v>
      </c>
      <c r="C18" s="10" t="str">
        <f aca="false">TEXT(B18,"yyyy-mm")</f>
        <v>2025-04</v>
      </c>
      <c r="D18" s="10" t="n">
        <f aca="false">MONTH(B18)</f>
        <v>4</v>
      </c>
      <c r="E18" s="10" t="str">
        <f aca="false">TEXT(B18,"mmmm")</f>
        <v>kwiecień</v>
      </c>
      <c r="F18" s="10" t="str">
        <f aca="false">"Q"&amp;ROUNDUP(D18/3,0)</f>
        <v>Q2</v>
      </c>
      <c r="G18" s="10" t="str">
        <f aca="false">IF(OR(D18=12,D18&lt;=2),"Winter",IF(D18&lt;=5,"Spring",IF(D18&lt;=8,"Summer","Autumn")))</f>
        <v>Spring</v>
      </c>
      <c r="H18" s="11" t="n">
        <f aca="false">weather_data!E18-weather_data!D18</f>
        <v>-0.599999999999998</v>
      </c>
      <c r="I18" s="10" t="n">
        <f aca="false">IF(OR(weather_data!H18="light rain",weather_data!H18="moderate rain",weather_data!H18="drizzle",weather_data!H18="thunderstorm"),1,0)</f>
        <v>1</v>
      </c>
      <c r="J18" s="10" t="n">
        <f aca="false">IF(weather_data!I18&gt;=25,1,0)</f>
        <v>0</v>
      </c>
    </row>
    <row r="19" customFormat="false" ht="15" hidden="false" customHeight="false" outlineLevel="0" collapsed="false">
      <c r="A19" s="8" t="n">
        <f aca="false">weather_data!B19</f>
        <v>45771.2916666667</v>
      </c>
      <c r="B19" s="9" t="n">
        <f aca="false">INT(A19)</f>
        <v>45771</v>
      </c>
      <c r="C19" s="10" t="str">
        <f aca="false">TEXT(B19,"yyyy-mm")</f>
        <v>2025-04</v>
      </c>
      <c r="D19" s="10" t="n">
        <f aca="false">MONTH(B19)</f>
        <v>4</v>
      </c>
      <c r="E19" s="10" t="str">
        <f aca="false">TEXT(B19,"mmmm")</f>
        <v>kwiecień</v>
      </c>
      <c r="F19" s="10" t="str">
        <f aca="false">"Q"&amp;ROUNDUP(D19/3,0)</f>
        <v>Q2</v>
      </c>
      <c r="G19" s="10" t="str">
        <f aca="false">IF(OR(D19=12,D19&lt;=2),"Winter",IF(D19&lt;=5,"Spring",IF(D19&lt;=8,"Summer","Autumn")))</f>
        <v>Spring</v>
      </c>
      <c r="H19" s="11" t="n">
        <f aca="false">weather_data!E19-weather_data!D19</f>
        <v>1.2</v>
      </c>
      <c r="I19" s="10" t="n">
        <f aca="false">IF(OR(weather_data!H19="light rain",weather_data!H19="moderate rain",weather_data!H19="drizzle",weather_data!H19="thunderstorm"),1,0)</f>
        <v>0</v>
      </c>
      <c r="J19" s="10" t="n">
        <f aca="false">IF(weather_data!I19&gt;=25,1,0)</f>
        <v>0</v>
      </c>
    </row>
    <row r="20" customFormat="false" ht="15" hidden="false" customHeight="false" outlineLevel="0" collapsed="false">
      <c r="A20" s="8" t="n">
        <f aca="false">weather_data!B20</f>
        <v>45772.8055555556</v>
      </c>
      <c r="B20" s="9" t="n">
        <f aca="false">INT(A20)</f>
        <v>45772</v>
      </c>
      <c r="C20" s="10" t="str">
        <f aca="false">TEXT(B20,"yyyy-mm")</f>
        <v>2025-04</v>
      </c>
      <c r="D20" s="10" t="n">
        <f aca="false">MONTH(B20)</f>
        <v>4</v>
      </c>
      <c r="E20" s="10" t="str">
        <f aca="false">TEXT(B20,"mmmm")</f>
        <v>kwiecień</v>
      </c>
      <c r="F20" s="10" t="str">
        <f aca="false">"Q"&amp;ROUNDUP(D20/3,0)</f>
        <v>Q2</v>
      </c>
      <c r="G20" s="10" t="str">
        <f aca="false">IF(OR(D20=12,D20&lt;=2),"Winter",IF(D20&lt;=5,"Spring",IF(D20&lt;=8,"Summer","Autumn")))</f>
        <v>Spring</v>
      </c>
      <c r="H20" s="11" t="n">
        <f aca="false">weather_data!E20-weather_data!D20</f>
        <v>-0.400000000000002</v>
      </c>
      <c r="I20" s="10" t="n">
        <f aca="false">IF(OR(weather_data!H20="light rain",weather_data!H20="moderate rain",weather_data!H20="drizzle",weather_data!H20="thunderstorm"),1,0)</f>
        <v>0</v>
      </c>
      <c r="J20" s="10" t="n">
        <f aca="false">IF(weather_data!I20&gt;=25,1,0)</f>
        <v>0</v>
      </c>
    </row>
    <row r="21" customFormat="false" ht="15" hidden="false" customHeight="false" outlineLevel="0" collapsed="false">
      <c r="A21" s="8" t="n">
        <f aca="false">weather_data!B21</f>
        <v>45773.2916666667</v>
      </c>
      <c r="B21" s="9" t="n">
        <f aca="false">INT(A21)</f>
        <v>45773</v>
      </c>
      <c r="C21" s="10" t="str">
        <f aca="false">TEXT(B21,"yyyy-mm")</f>
        <v>2025-04</v>
      </c>
      <c r="D21" s="10" t="n">
        <f aca="false">MONTH(B21)</f>
        <v>4</v>
      </c>
      <c r="E21" s="10" t="str">
        <f aca="false">TEXT(B21,"mmmm")</f>
        <v>kwiecień</v>
      </c>
      <c r="F21" s="10" t="str">
        <f aca="false">"Q"&amp;ROUNDUP(D21/3,0)</f>
        <v>Q2</v>
      </c>
      <c r="G21" s="10" t="str">
        <f aca="false">IF(OR(D21=12,D21&lt;=2),"Winter",IF(D21&lt;=5,"Spring",IF(D21&lt;=8,"Summer","Autumn")))</f>
        <v>Spring</v>
      </c>
      <c r="H21" s="11" t="n">
        <f aca="false">weather_data!E21-weather_data!D21</f>
        <v>0.9</v>
      </c>
      <c r="I21" s="10" t="n">
        <f aca="false">IF(OR(weather_data!H21="light rain",weather_data!H21="moderate rain",weather_data!H21="drizzle",weather_data!H21="thunderstorm"),1,0)</f>
        <v>0</v>
      </c>
      <c r="J21" s="10" t="n">
        <f aca="false">IF(weather_data!I21&gt;=25,1,0)</f>
        <v>0</v>
      </c>
    </row>
    <row r="22" customFormat="false" ht="15" hidden="false" customHeight="false" outlineLevel="0" collapsed="false">
      <c r="A22" s="8" t="n">
        <f aca="false">weather_data!B22</f>
        <v>45774.6736111111</v>
      </c>
      <c r="B22" s="9" t="n">
        <f aca="false">INT(A22)</f>
        <v>45774</v>
      </c>
      <c r="C22" s="10" t="str">
        <f aca="false">TEXT(B22,"yyyy-mm")</f>
        <v>2025-04</v>
      </c>
      <c r="D22" s="10" t="n">
        <f aca="false">MONTH(B22)</f>
        <v>4</v>
      </c>
      <c r="E22" s="10" t="str">
        <f aca="false">TEXT(B22,"mmmm")</f>
        <v>kwiecień</v>
      </c>
      <c r="F22" s="10" t="str">
        <f aca="false">"Q"&amp;ROUNDUP(D22/3,0)</f>
        <v>Q2</v>
      </c>
      <c r="G22" s="10" t="str">
        <f aca="false">IF(OR(D22=12,D22&lt;=2),"Winter",IF(D22&lt;=5,"Spring",IF(D22&lt;=8,"Summer","Autumn")))</f>
        <v>Spring</v>
      </c>
      <c r="H22" s="11" t="n">
        <f aca="false">weather_data!E22-weather_data!D22</f>
        <v>1</v>
      </c>
      <c r="I22" s="10" t="n">
        <f aca="false">IF(OR(weather_data!H22="light rain",weather_data!H22="moderate rain",weather_data!H22="drizzle",weather_data!H22="thunderstorm"),1,0)</f>
        <v>0</v>
      </c>
      <c r="J22" s="10" t="n">
        <f aca="false">IF(weather_data!I22&gt;=25,1,0)</f>
        <v>0</v>
      </c>
    </row>
    <row r="23" customFormat="false" ht="15" hidden="false" customHeight="false" outlineLevel="0" collapsed="false">
      <c r="A23" s="8" t="n">
        <f aca="false">weather_data!B23</f>
        <v>45775.5902777778</v>
      </c>
      <c r="B23" s="9" t="n">
        <f aca="false">INT(A23)</f>
        <v>45775</v>
      </c>
      <c r="C23" s="10" t="str">
        <f aca="false">TEXT(B23,"yyyy-mm")</f>
        <v>2025-04</v>
      </c>
      <c r="D23" s="10" t="n">
        <f aca="false">MONTH(B23)</f>
        <v>4</v>
      </c>
      <c r="E23" s="10" t="str">
        <f aca="false">TEXT(B23,"mmmm")</f>
        <v>kwiecień</v>
      </c>
      <c r="F23" s="10" t="str">
        <f aca="false">"Q"&amp;ROUNDUP(D23/3,0)</f>
        <v>Q2</v>
      </c>
      <c r="G23" s="10" t="str">
        <f aca="false">IF(OR(D23=12,D23&lt;=2),"Winter",IF(D23&lt;=5,"Spring",IF(D23&lt;=8,"Summer","Autumn")))</f>
        <v>Spring</v>
      </c>
      <c r="H23" s="11" t="n">
        <f aca="false">weather_data!E23-weather_data!D23</f>
        <v>-1</v>
      </c>
      <c r="I23" s="10" t="n">
        <f aca="false">IF(OR(weather_data!H23="light rain",weather_data!H23="moderate rain",weather_data!H23="drizzle",weather_data!H23="thunderstorm"),1,0)</f>
        <v>0</v>
      </c>
      <c r="J23" s="10" t="n">
        <f aca="false">IF(weather_data!I23&gt;=25,1,0)</f>
        <v>0</v>
      </c>
    </row>
    <row r="24" customFormat="false" ht="15" hidden="false" customHeight="false" outlineLevel="0" collapsed="false">
      <c r="A24" s="8" t="n">
        <f aca="false">weather_data!B24</f>
        <v>45776.8611111111</v>
      </c>
      <c r="B24" s="9" t="n">
        <f aca="false">INT(A24)</f>
        <v>45776</v>
      </c>
      <c r="C24" s="10" t="str">
        <f aca="false">TEXT(B24,"yyyy-mm")</f>
        <v>2025-04</v>
      </c>
      <c r="D24" s="10" t="n">
        <f aca="false">MONTH(B24)</f>
        <v>4</v>
      </c>
      <c r="E24" s="10" t="str">
        <f aca="false">TEXT(B24,"mmmm")</f>
        <v>kwiecień</v>
      </c>
      <c r="F24" s="10" t="str">
        <f aca="false">"Q"&amp;ROUNDUP(D24/3,0)</f>
        <v>Q2</v>
      </c>
      <c r="G24" s="10" t="str">
        <f aca="false">IF(OR(D24=12,D24&lt;=2),"Winter",IF(D24&lt;=5,"Spring",IF(D24&lt;=8,"Summer","Autumn")))</f>
        <v>Spring</v>
      </c>
      <c r="H24" s="11" t="n">
        <f aca="false">weather_data!E24-weather_data!D24</f>
        <v>-0.199999999999999</v>
      </c>
      <c r="I24" s="10" t="n">
        <f aca="false">IF(OR(weather_data!H24="light rain",weather_data!H24="moderate rain",weather_data!H24="drizzle",weather_data!H24="thunderstorm"),1,0)</f>
        <v>0</v>
      </c>
      <c r="J24" s="10" t="n">
        <f aca="false">IF(weather_data!I24&gt;=25,1,0)</f>
        <v>0</v>
      </c>
    </row>
    <row r="25" customFormat="false" ht="15" hidden="false" customHeight="false" outlineLevel="0" collapsed="false">
      <c r="A25" s="8" t="n">
        <f aca="false">weather_data!B25</f>
        <v>45777.8194444445</v>
      </c>
      <c r="B25" s="9" t="n">
        <f aca="false">INT(A25)</f>
        <v>45777</v>
      </c>
      <c r="C25" s="10" t="str">
        <f aca="false">TEXT(B25,"yyyy-mm")</f>
        <v>2025-04</v>
      </c>
      <c r="D25" s="10" t="n">
        <f aca="false">MONTH(B25)</f>
        <v>4</v>
      </c>
      <c r="E25" s="10" t="str">
        <f aca="false">TEXT(B25,"mmmm")</f>
        <v>kwiecień</v>
      </c>
      <c r="F25" s="10" t="str">
        <f aca="false">"Q"&amp;ROUNDUP(D25/3,0)</f>
        <v>Q2</v>
      </c>
      <c r="G25" s="10" t="str">
        <f aca="false">IF(OR(D25=12,D25&lt;=2),"Winter",IF(D25&lt;=5,"Spring",IF(D25&lt;=8,"Summer","Autumn")))</f>
        <v>Spring</v>
      </c>
      <c r="H25" s="11" t="n">
        <f aca="false">weather_data!E25-weather_data!D25</f>
        <v>-0.199999999999999</v>
      </c>
      <c r="I25" s="10" t="n">
        <f aca="false">IF(OR(weather_data!H25="light rain",weather_data!H25="moderate rain",weather_data!H25="drizzle",weather_data!H25="thunderstorm"),1,0)</f>
        <v>0</v>
      </c>
      <c r="J25" s="10" t="n">
        <f aca="false">IF(weather_data!I25&gt;=25,1,0)</f>
        <v>0</v>
      </c>
    </row>
    <row r="26" customFormat="false" ht="15" hidden="false" customHeight="false" outlineLevel="0" collapsed="false">
      <c r="A26" s="8" t="n">
        <f aca="false">weather_data!B26</f>
        <v>45778.25</v>
      </c>
      <c r="B26" s="9" t="n">
        <f aca="false">INT(A26)</f>
        <v>45778</v>
      </c>
      <c r="C26" s="10" t="str">
        <f aca="false">TEXT(B26,"yyyy-mm")</f>
        <v>2025-05</v>
      </c>
      <c r="D26" s="10" t="n">
        <f aca="false">MONTH(B26)</f>
        <v>5</v>
      </c>
      <c r="E26" s="10" t="str">
        <f aca="false">TEXT(B26,"mmmm")</f>
        <v>maj</v>
      </c>
      <c r="F26" s="10" t="str">
        <f aca="false">"Q"&amp;ROUNDUP(D26/3,0)</f>
        <v>Q2</v>
      </c>
      <c r="G26" s="10" t="str">
        <f aca="false">IF(OR(D26=12,D26&lt;=2),"Winter",IF(D26&lt;=5,"Spring",IF(D26&lt;=8,"Summer","Autumn")))</f>
        <v>Spring</v>
      </c>
      <c r="H26" s="11" t="n">
        <f aca="false">weather_data!E26-weather_data!D26</f>
        <v>1.2</v>
      </c>
      <c r="I26" s="10" t="n">
        <f aca="false">IF(OR(weather_data!H26="light rain",weather_data!H26="moderate rain",weather_data!H26="drizzle",weather_data!H26="thunderstorm"),1,0)</f>
        <v>0</v>
      </c>
      <c r="J26" s="10" t="n">
        <f aca="false">IF(weather_data!I26&gt;=25,1,0)</f>
        <v>0</v>
      </c>
    </row>
    <row r="27" customFormat="false" ht="15" hidden="false" customHeight="false" outlineLevel="0" collapsed="false">
      <c r="A27" s="8" t="n">
        <f aca="false">weather_data!B27</f>
        <v>45779.3680555556</v>
      </c>
      <c r="B27" s="9" t="n">
        <f aca="false">INT(A27)</f>
        <v>45779</v>
      </c>
      <c r="C27" s="10" t="str">
        <f aca="false">TEXT(B27,"yyyy-mm")</f>
        <v>2025-05</v>
      </c>
      <c r="D27" s="10" t="n">
        <f aca="false">MONTH(B27)</f>
        <v>5</v>
      </c>
      <c r="E27" s="10" t="str">
        <f aca="false">TEXT(B27,"mmmm")</f>
        <v>maj</v>
      </c>
      <c r="F27" s="10" t="str">
        <f aca="false">"Q"&amp;ROUNDUP(D27/3,0)</f>
        <v>Q2</v>
      </c>
      <c r="G27" s="10" t="str">
        <f aca="false">IF(OR(D27=12,D27&lt;=2),"Winter",IF(D27&lt;=5,"Spring",IF(D27&lt;=8,"Summer","Autumn")))</f>
        <v>Spring</v>
      </c>
      <c r="H27" s="11" t="n">
        <f aca="false">weather_data!E27-weather_data!D27</f>
        <v>-0.0999999999999979</v>
      </c>
      <c r="I27" s="10" t="n">
        <f aca="false">IF(OR(weather_data!H27="light rain",weather_data!H27="moderate rain",weather_data!H27="drizzle",weather_data!H27="thunderstorm"),1,0)</f>
        <v>0</v>
      </c>
      <c r="J27" s="10" t="n">
        <f aca="false">IF(weather_data!I27&gt;=25,1,0)</f>
        <v>0</v>
      </c>
    </row>
    <row r="28" customFormat="false" ht="15" hidden="false" customHeight="false" outlineLevel="0" collapsed="false">
      <c r="A28" s="8" t="n">
        <f aca="false">weather_data!B28</f>
        <v>45780.4444444445</v>
      </c>
      <c r="B28" s="9" t="n">
        <f aca="false">INT(A28)</f>
        <v>45780</v>
      </c>
      <c r="C28" s="10" t="str">
        <f aca="false">TEXT(B28,"yyyy-mm")</f>
        <v>2025-05</v>
      </c>
      <c r="D28" s="10" t="n">
        <f aca="false">MONTH(B28)</f>
        <v>5</v>
      </c>
      <c r="E28" s="10" t="str">
        <f aca="false">TEXT(B28,"mmmm")</f>
        <v>maj</v>
      </c>
      <c r="F28" s="10" t="str">
        <f aca="false">"Q"&amp;ROUNDUP(D28/3,0)</f>
        <v>Q2</v>
      </c>
      <c r="G28" s="10" t="str">
        <f aca="false">IF(OR(D28=12,D28&lt;=2),"Winter",IF(D28&lt;=5,"Spring",IF(D28&lt;=8,"Summer","Autumn")))</f>
        <v>Spring</v>
      </c>
      <c r="H28" s="11" t="n">
        <f aca="false">weather_data!E28-weather_data!D28</f>
        <v>-0.0999999999999979</v>
      </c>
      <c r="I28" s="10" t="n">
        <f aca="false">IF(OR(weather_data!H28="light rain",weather_data!H28="moderate rain",weather_data!H28="drizzle",weather_data!H28="thunderstorm"),1,0)</f>
        <v>0</v>
      </c>
      <c r="J28" s="10" t="n">
        <f aca="false">IF(weather_data!I28&gt;=25,1,0)</f>
        <v>0</v>
      </c>
    </row>
    <row r="29" customFormat="false" ht="15" hidden="false" customHeight="false" outlineLevel="0" collapsed="false">
      <c r="A29" s="8" t="n">
        <f aca="false">weather_data!B29</f>
        <v>45781.3055555556</v>
      </c>
      <c r="B29" s="9" t="n">
        <f aca="false">INT(A29)</f>
        <v>45781</v>
      </c>
      <c r="C29" s="10" t="str">
        <f aca="false">TEXT(B29,"yyyy-mm")</f>
        <v>2025-05</v>
      </c>
      <c r="D29" s="10" t="n">
        <f aca="false">MONTH(B29)</f>
        <v>5</v>
      </c>
      <c r="E29" s="10" t="str">
        <f aca="false">TEXT(B29,"mmmm")</f>
        <v>maj</v>
      </c>
      <c r="F29" s="10" t="str">
        <f aca="false">"Q"&amp;ROUNDUP(D29/3,0)</f>
        <v>Q2</v>
      </c>
      <c r="G29" s="10" t="str">
        <f aca="false">IF(OR(D29=12,D29&lt;=2),"Winter",IF(D29&lt;=5,"Spring",IF(D29&lt;=8,"Summer","Autumn")))</f>
        <v>Spring</v>
      </c>
      <c r="H29" s="11" t="n">
        <f aca="false">weather_data!E29-weather_data!D29</f>
        <v>1.2</v>
      </c>
      <c r="I29" s="10" t="n">
        <f aca="false">IF(OR(weather_data!H29="light rain",weather_data!H29="moderate rain",weather_data!H29="drizzle",weather_data!H29="thunderstorm"),1,0)</f>
        <v>0</v>
      </c>
      <c r="J29" s="10" t="n">
        <f aca="false">IF(weather_data!I29&gt;=25,1,0)</f>
        <v>0</v>
      </c>
    </row>
    <row r="30" customFormat="false" ht="15" hidden="false" customHeight="false" outlineLevel="0" collapsed="false">
      <c r="A30" s="8" t="n">
        <f aca="false">weather_data!B30</f>
        <v>45782.4375</v>
      </c>
      <c r="B30" s="9" t="n">
        <f aca="false">INT(A30)</f>
        <v>45782</v>
      </c>
      <c r="C30" s="10" t="str">
        <f aca="false">TEXT(B30,"yyyy-mm")</f>
        <v>2025-05</v>
      </c>
      <c r="D30" s="10" t="n">
        <f aca="false">MONTH(B30)</f>
        <v>5</v>
      </c>
      <c r="E30" s="10" t="str">
        <f aca="false">TEXT(B30,"mmmm")</f>
        <v>maj</v>
      </c>
      <c r="F30" s="10" t="str">
        <f aca="false">"Q"&amp;ROUNDUP(D30/3,0)</f>
        <v>Q2</v>
      </c>
      <c r="G30" s="10" t="str">
        <f aca="false">IF(OR(D30=12,D30&lt;=2),"Winter",IF(D30&lt;=5,"Spring",IF(D30&lt;=8,"Summer","Autumn")))</f>
        <v>Spring</v>
      </c>
      <c r="H30" s="11" t="n">
        <f aca="false">weather_data!E30-weather_data!D30</f>
        <v>-0.799999999999999</v>
      </c>
      <c r="I30" s="10" t="n">
        <f aca="false">IF(OR(weather_data!H30="light rain",weather_data!H30="moderate rain",weather_data!H30="drizzle",weather_data!H30="thunderstorm"),1,0)</f>
        <v>0</v>
      </c>
      <c r="J30" s="10" t="n">
        <f aca="false">IF(weather_data!I30&gt;=25,1,0)</f>
        <v>0</v>
      </c>
    </row>
    <row r="31" customFormat="false" ht="15" hidden="false" customHeight="false" outlineLevel="0" collapsed="false">
      <c r="A31" s="8" t="n">
        <f aca="false">weather_data!B31</f>
        <v>45783.4166666667</v>
      </c>
      <c r="B31" s="9" t="n">
        <f aca="false">INT(A31)</f>
        <v>45783</v>
      </c>
      <c r="C31" s="10" t="str">
        <f aca="false">TEXT(B31,"yyyy-mm")</f>
        <v>2025-05</v>
      </c>
      <c r="D31" s="10" t="n">
        <f aca="false">MONTH(B31)</f>
        <v>5</v>
      </c>
      <c r="E31" s="10" t="str">
        <f aca="false">TEXT(B31,"mmmm")</f>
        <v>maj</v>
      </c>
      <c r="F31" s="10" t="str">
        <f aca="false">"Q"&amp;ROUNDUP(D31/3,0)</f>
        <v>Q2</v>
      </c>
      <c r="G31" s="10" t="str">
        <f aca="false">IF(OR(D31=12,D31&lt;=2),"Winter",IF(D31&lt;=5,"Spring",IF(D31&lt;=8,"Summer","Autumn")))</f>
        <v>Spring</v>
      </c>
      <c r="H31" s="11" t="n">
        <f aca="false">weather_data!E31-weather_data!D31</f>
        <v>1</v>
      </c>
      <c r="I31" s="10" t="n">
        <f aca="false">IF(OR(weather_data!H31="light rain",weather_data!H31="moderate rain",weather_data!H31="drizzle",weather_data!H31="thunderstorm"),1,0)</f>
        <v>0</v>
      </c>
      <c r="J31" s="10" t="n">
        <f aca="false">IF(weather_data!I31&gt;=25,1,0)</f>
        <v>0</v>
      </c>
    </row>
    <row r="32" customFormat="false" ht="15" hidden="false" customHeight="false" outlineLevel="0" collapsed="false">
      <c r="A32" s="8" t="n">
        <f aca="false">weather_data!B32</f>
        <v>45784.6388888889</v>
      </c>
      <c r="B32" s="9" t="n">
        <f aca="false">INT(A32)</f>
        <v>45784</v>
      </c>
      <c r="C32" s="10" t="str">
        <f aca="false">TEXT(B32,"yyyy-mm")</f>
        <v>2025-05</v>
      </c>
      <c r="D32" s="10" t="n">
        <f aca="false">MONTH(B32)</f>
        <v>5</v>
      </c>
      <c r="E32" s="10" t="str">
        <f aca="false">TEXT(B32,"mmmm")</f>
        <v>maj</v>
      </c>
      <c r="F32" s="10" t="str">
        <f aca="false">"Q"&amp;ROUNDUP(D32/3,0)</f>
        <v>Q2</v>
      </c>
      <c r="G32" s="10" t="str">
        <f aca="false">IF(OR(D32=12,D32&lt;=2),"Winter",IF(D32&lt;=5,"Spring",IF(D32&lt;=8,"Summer","Autumn")))</f>
        <v>Spring</v>
      </c>
      <c r="H32" s="11" t="n">
        <f aca="false">weather_data!E32-weather_data!D32</f>
        <v>0.0999999999999979</v>
      </c>
      <c r="I32" s="10" t="n">
        <f aca="false">IF(OR(weather_data!H32="light rain",weather_data!H32="moderate rain",weather_data!H32="drizzle",weather_data!H32="thunderstorm"),1,0)</f>
        <v>0</v>
      </c>
      <c r="J32" s="10" t="n">
        <f aca="false">IF(weather_data!I32&gt;=25,1,0)</f>
        <v>0</v>
      </c>
    </row>
    <row r="33" customFormat="false" ht="15" hidden="false" customHeight="false" outlineLevel="0" collapsed="false">
      <c r="A33" s="8" t="n">
        <f aca="false">weather_data!B33</f>
        <v>45785.3055555556</v>
      </c>
      <c r="B33" s="9" t="n">
        <f aca="false">INT(A33)</f>
        <v>45785</v>
      </c>
      <c r="C33" s="10" t="str">
        <f aca="false">TEXT(B33,"yyyy-mm")</f>
        <v>2025-05</v>
      </c>
      <c r="D33" s="10" t="n">
        <f aca="false">MONTH(B33)</f>
        <v>5</v>
      </c>
      <c r="E33" s="10" t="str">
        <f aca="false">TEXT(B33,"mmmm")</f>
        <v>maj</v>
      </c>
      <c r="F33" s="10" t="str">
        <f aca="false">"Q"&amp;ROUNDUP(D33/3,0)</f>
        <v>Q2</v>
      </c>
      <c r="G33" s="10" t="str">
        <f aca="false">IF(OR(D33=12,D33&lt;=2),"Winter",IF(D33&lt;=5,"Spring",IF(D33&lt;=8,"Summer","Autumn")))</f>
        <v>Spring</v>
      </c>
      <c r="H33" s="11" t="n">
        <f aca="false">weather_data!E33-weather_data!D33</f>
        <v>0.399999999999999</v>
      </c>
      <c r="I33" s="10" t="n">
        <f aca="false">IF(OR(weather_data!H33="light rain",weather_data!H33="moderate rain",weather_data!H33="drizzle",weather_data!H33="thunderstorm"),1,0)</f>
        <v>0</v>
      </c>
      <c r="J33" s="10" t="n">
        <f aca="false">IF(weather_data!I33&gt;=25,1,0)</f>
        <v>0</v>
      </c>
    </row>
    <row r="34" customFormat="false" ht="15" hidden="false" customHeight="false" outlineLevel="0" collapsed="false">
      <c r="A34" s="8" t="n">
        <f aca="false">weather_data!B34</f>
        <v>45786.5347222222</v>
      </c>
      <c r="B34" s="9" t="n">
        <f aca="false">INT(A34)</f>
        <v>45786</v>
      </c>
      <c r="C34" s="10" t="str">
        <f aca="false">TEXT(B34,"yyyy-mm")</f>
        <v>2025-05</v>
      </c>
      <c r="D34" s="10" t="n">
        <f aca="false">MONTH(B34)</f>
        <v>5</v>
      </c>
      <c r="E34" s="10" t="str">
        <f aca="false">TEXT(B34,"mmmm")</f>
        <v>maj</v>
      </c>
      <c r="F34" s="10" t="str">
        <f aca="false">"Q"&amp;ROUNDUP(D34/3,0)</f>
        <v>Q2</v>
      </c>
      <c r="G34" s="10" t="str">
        <f aca="false">IF(OR(D34=12,D34&lt;=2),"Winter",IF(D34&lt;=5,"Spring",IF(D34&lt;=8,"Summer","Autumn")))</f>
        <v>Spring</v>
      </c>
      <c r="H34" s="11" t="n">
        <f aca="false">weather_data!E34-weather_data!D34</f>
        <v>1.2</v>
      </c>
      <c r="I34" s="10" t="n">
        <f aca="false">IF(OR(weather_data!H34="light rain",weather_data!H34="moderate rain",weather_data!H34="drizzle",weather_data!H34="thunderstorm"),1,0)</f>
        <v>0</v>
      </c>
      <c r="J34" s="10" t="n">
        <f aca="false">IF(weather_data!I34&gt;=25,1,0)</f>
        <v>0</v>
      </c>
    </row>
    <row r="35" customFormat="false" ht="15" hidden="false" customHeight="false" outlineLevel="0" collapsed="false">
      <c r="A35" s="8" t="n">
        <f aca="false">weather_data!B35</f>
        <v>45787.5763888889</v>
      </c>
      <c r="B35" s="9" t="n">
        <f aca="false">INT(A35)</f>
        <v>45787</v>
      </c>
      <c r="C35" s="10" t="str">
        <f aca="false">TEXT(B35,"yyyy-mm")</f>
        <v>2025-05</v>
      </c>
      <c r="D35" s="10" t="n">
        <f aca="false">MONTH(B35)</f>
        <v>5</v>
      </c>
      <c r="E35" s="10" t="str">
        <f aca="false">TEXT(B35,"mmmm")</f>
        <v>maj</v>
      </c>
      <c r="F35" s="10" t="str">
        <f aca="false">"Q"&amp;ROUNDUP(D35/3,0)</f>
        <v>Q2</v>
      </c>
      <c r="G35" s="10" t="str">
        <f aca="false">IF(OR(D35=12,D35&lt;=2),"Winter",IF(D35&lt;=5,"Spring",IF(D35&lt;=8,"Summer","Autumn")))</f>
        <v>Spring</v>
      </c>
      <c r="H35" s="11" t="n">
        <f aca="false">weather_data!E35-weather_data!D35</f>
        <v>-0.300000000000001</v>
      </c>
      <c r="I35" s="10" t="n">
        <f aca="false">IF(OR(weather_data!H35="light rain",weather_data!H35="moderate rain",weather_data!H35="drizzle",weather_data!H35="thunderstorm"),1,0)</f>
        <v>0</v>
      </c>
      <c r="J35" s="10" t="n">
        <f aca="false">IF(weather_data!I35&gt;=25,1,0)</f>
        <v>0</v>
      </c>
    </row>
    <row r="36" customFormat="false" ht="15" hidden="false" customHeight="false" outlineLevel="0" collapsed="false">
      <c r="A36" s="8" t="n">
        <f aca="false">weather_data!B36</f>
        <v>45788.3888888889</v>
      </c>
      <c r="B36" s="9" t="n">
        <f aca="false">INT(A36)</f>
        <v>45788</v>
      </c>
      <c r="C36" s="10" t="str">
        <f aca="false">TEXT(B36,"yyyy-mm")</f>
        <v>2025-05</v>
      </c>
      <c r="D36" s="10" t="n">
        <f aca="false">MONTH(B36)</f>
        <v>5</v>
      </c>
      <c r="E36" s="10" t="str">
        <f aca="false">TEXT(B36,"mmmm")</f>
        <v>maj</v>
      </c>
      <c r="F36" s="10" t="str">
        <f aca="false">"Q"&amp;ROUNDUP(D36/3,0)</f>
        <v>Q2</v>
      </c>
      <c r="G36" s="10" t="str">
        <f aca="false">IF(OR(D36=12,D36&lt;=2),"Winter",IF(D36&lt;=5,"Spring",IF(D36&lt;=8,"Summer","Autumn")))</f>
        <v>Spring</v>
      </c>
      <c r="H36" s="11" t="n">
        <f aca="false">weather_data!E36-weather_data!D36</f>
        <v>0.699999999999999</v>
      </c>
      <c r="I36" s="10" t="n">
        <f aca="false">IF(OR(weather_data!H36="light rain",weather_data!H36="moderate rain",weather_data!H36="drizzle",weather_data!H36="thunderstorm"),1,0)</f>
        <v>0</v>
      </c>
      <c r="J36" s="10" t="n">
        <f aca="false">IF(weather_data!I36&gt;=25,1,0)</f>
        <v>0</v>
      </c>
    </row>
    <row r="37" customFormat="false" ht="15" hidden="false" customHeight="false" outlineLevel="0" collapsed="false">
      <c r="A37" s="8" t="n">
        <f aca="false">weather_data!B37</f>
        <v>45789.8194444445</v>
      </c>
      <c r="B37" s="9" t="n">
        <f aca="false">INT(A37)</f>
        <v>45789</v>
      </c>
      <c r="C37" s="10" t="str">
        <f aca="false">TEXT(B37,"yyyy-mm")</f>
        <v>2025-05</v>
      </c>
      <c r="D37" s="10" t="n">
        <f aca="false">MONTH(B37)</f>
        <v>5</v>
      </c>
      <c r="E37" s="10" t="str">
        <f aca="false">TEXT(B37,"mmmm")</f>
        <v>maj</v>
      </c>
      <c r="F37" s="10" t="str">
        <f aca="false">"Q"&amp;ROUNDUP(D37/3,0)</f>
        <v>Q2</v>
      </c>
      <c r="G37" s="10" t="str">
        <f aca="false">IF(OR(D37=12,D37&lt;=2),"Winter",IF(D37&lt;=5,"Spring",IF(D37&lt;=8,"Summer","Autumn")))</f>
        <v>Spring</v>
      </c>
      <c r="H37" s="11" t="n">
        <f aca="false">weather_data!E37-weather_data!D37</f>
        <v>-0.699999999999999</v>
      </c>
      <c r="I37" s="10" t="n">
        <f aca="false">IF(OR(weather_data!H37="light rain",weather_data!H37="moderate rain",weather_data!H37="drizzle",weather_data!H37="thunderstorm"),1,0)</f>
        <v>1</v>
      </c>
      <c r="J37" s="10" t="n">
        <f aca="false">IF(weather_data!I37&gt;=25,1,0)</f>
        <v>0</v>
      </c>
    </row>
    <row r="38" customFormat="false" ht="15" hidden="false" customHeight="false" outlineLevel="0" collapsed="false">
      <c r="A38" s="8" t="n">
        <f aca="false">weather_data!B38</f>
        <v>45790.4236111111</v>
      </c>
      <c r="B38" s="9" t="n">
        <f aca="false">INT(A38)</f>
        <v>45790</v>
      </c>
      <c r="C38" s="10" t="str">
        <f aca="false">TEXT(B38,"yyyy-mm")</f>
        <v>2025-05</v>
      </c>
      <c r="D38" s="10" t="n">
        <f aca="false">MONTH(B38)</f>
        <v>5</v>
      </c>
      <c r="E38" s="10" t="str">
        <f aca="false">TEXT(B38,"mmmm")</f>
        <v>maj</v>
      </c>
      <c r="F38" s="10" t="str">
        <f aca="false">"Q"&amp;ROUNDUP(D38/3,0)</f>
        <v>Q2</v>
      </c>
      <c r="G38" s="10" t="str">
        <f aca="false">IF(OR(D38=12,D38&lt;=2),"Winter",IF(D38&lt;=5,"Spring",IF(D38&lt;=8,"Summer","Autumn")))</f>
        <v>Spring</v>
      </c>
      <c r="H38" s="11" t="n">
        <f aca="false">weather_data!E38-weather_data!D38</f>
        <v>1</v>
      </c>
      <c r="I38" s="10" t="n">
        <f aca="false">IF(OR(weather_data!H38="light rain",weather_data!H38="moderate rain",weather_data!H38="drizzle",weather_data!H38="thunderstorm"),1,0)</f>
        <v>0</v>
      </c>
      <c r="J38" s="10" t="n">
        <f aca="false">IF(weather_data!I38&gt;=25,1,0)</f>
        <v>0</v>
      </c>
    </row>
    <row r="39" customFormat="false" ht="15" hidden="false" customHeight="false" outlineLevel="0" collapsed="false">
      <c r="A39" s="8" t="n">
        <f aca="false">weather_data!B39</f>
        <v>45791.4652777778</v>
      </c>
      <c r="B39" s="9" t="n">
        <f aca="false">INT(A39)</f>
        <v>45791</v>
      </c>
      <c r="C39" s="10" t="str">
        <f aca="false">TEXT(B39,"yyyy-mm")</f>
        <v>2025-05</v>
      </c>
      <c r="D39" s="10" t="n">
        <f aca="false">MONTH(B39)</f>
        <v>5</v>
      </c>
      <c r="E39" s="10" t="str">
        <f aca="false">TEXT(B39,"mmmm")</f>
        <v>maj</v>
      </c>
      <c r="F39" s="10" t="str">
        <f aca="false">"Q"&amp;ROUNDUP(D39/3,0)</f>
        <v>Q2</v>
      </c>
      <c r="G39" s="10" t="str">
        <f aca="false">IF(OR(D39=12,D39&lt;=2),"Winter",IF(D39&lt;=5,"Spring",IF(D39&lt;=8,"Summer","Autumn")))</f>
        <v>Spring</v>
      </c>
      <c r="H39" s="11" t="n">
        <f aca="false">weather_data!E39-weather_data!D39</f>
        <v>-0.899999999999999</v>
      </c>
      <c r="I39" s="10" t="n">
        <f aca="false">IF(OR(weather_data!H39="light rain",weather_data!H39="moderate rain",weather_data!H39="drizzle",weather_data!H39="thunderstorm"),1,0)</f>
        <v>0</v>
      </c>
      <c r="J39" s="10" t="n">
        <f aca="false">IF(weather_data!I39&gt;=25,1,0)</f>
        <v>0</v>
      </c>
    </row>
    <row r="40" customFormat="false" ht="15" hidden="false" customHeight="false" outlineLevel="0" collapsed="false">
      <c r="A40" s="8" t="n">
        <f aca="false">weather_data!B40</f>
        <v>45792.7916666667</v>
      </c>
      <c r="B40" s="9" t="n">
        <f aca="false">INT(A40)</f>
        <v>45792</v>
      </c>
      <c r="C40" s="10" t="str">
        <f aca="false">TEXT(B40,"yyyy-mm")</f>
        <v>2025-05</v>
      </c>
      <c r="D40" s="10" t="n">
        <f aca="false">MONTH(B40)</f>
        <v>5</v>
      </c>
      <c r="E40" s="10" t="str">
        <f aca="false">TEXT(B40,"mmmm")</f>
        <v>maj</v>
      </c>
      <c r="F40" s="10" t="str">
        <f aca="false">"Q"&amp;ROUNDUP(D40/3,0)</f>
        <v>Q2</v>
      </c>
      <c r="G40" s="10" t="str">
        <f aca="false">IF(OR(D40=12,D40&lt;=2),"Winter",IF(D40&lt;=5,"Spring",IF(D40&lt;=8,"Summer","Autumn")))</f>
        <v>Spring</v>
      </c>
      <c r="H40" s="11" t="n">
        <f aca="false">weather_data!E40-weather_data!D40</f>
        <v>0.399999999999999</v>
      </c>
      <c r="I40" s="10" t="n">
        <f aca="false">IF(OR(weather_data!H40="light rain",weather_data!H40="moderate rain",weather_data!H40="drizzle",weather_data!H40="thunderstorm"),1,0)</f>
        <v>0</v>
      </c>
      <c r="J40" s="10" t="n">
        <f aca="false">IF(weather_data!I40&gt;=25,1,0)</f>
        <v>0</v>
      </c>
    </row>
    <row r="41" customFormat="false" ht="15" hidden="false" customHeight="false" outlineLevel="0" collapsed="false">
      <c r="A41" s="8" t="n">
        <f aca="false">weather_data!B41</f>
        <v>45793.4930555556</v>
      </c>
      <c r="B41" s="9" t="n">
        <f aca="false">INT(A41)</f>
        <v>45793</v>
      </c>
      <c r="C41" s="10" t="str">
        <f aca="false">TEXT(B41,"yyyy-mm")</f>
        <v>2025-05</v>
      </c>
      <c r="D41" s="10" t="n">
        <f aca="false">MONTH(B41)</f>
        <v>5</v>
      </c>
      <c r="E41" s="10" t="str">
        <f aca="false">TEXT(B41,"mmmm")</f>
        <v>maj</v>
      </c>
      <c r="F41" s="10" t="str">
        <f aca="false">"Q"&amp;ROUNDUP(D41/3,0)</f>
        <v>Q2</v>
      </c>
      <c r="G41" s="10" t="str">
        <f aca="false">IF(OR(D41=12,D41&lt;=2),"Winter",IF(D41&lt;=5,"Spring",IF(D41&lt;=8,"Summer","Autumn")))</f>
        <v>Spring</v>
      </c>
      <c r="H41" s="11" t="n">
        <f aca="false">weather_data!E41-weather_data!D41</f>
        <v>-1.1</v>
      </c>
      <c r="I41" s="10" t="n">
        <f aca="false">IF(OR(weather_data!H41="light rain",weather_data!H41="moderate rain",weather_data!H41="drizzle",weather_data!H41="thunderstorm"),1,0)</f>
        <v>0</v>
      </c>
      <c r="J41" s="10" t="n">
        <f aca="false">IF(weather_data!I41&gt;=25,1,0)</f>
        <v>0</v>
      </c>
    </row>
    <row r="42" customFormat="false" ht="15" hidden="false" customHeight="false" outlineLevel="0" collapsed="false">
      <c r="A42" s="8" t="n">
        <f aca="false">weather_data!B42</f>
        <v>45794.6875</v>
      </c>
      <c r="B42" s="9" t="n">
        <f aca="false">INT(A42)</f>
        <v>45794</v>
      </c>
      <c r="C42" s="10" t="str">
        <f aca="false">TEXT(B42,"yyyy-mm")</f>
        <v>2025-05</v>
      </c>
      <c r="D42" s="10" t="n">
        <f aca="false">MONTH(B42)</f>
        <v>5</v>
      </c>
      <c r="E42" s="10" t="str">
        <f aca="false">TEXT(B42,"mmmm")</f>
        <v>maj</v>
      </c>
      <c r="F42" s="10" t="str">
        <f aca="false">"Q"&amp;ROUNDUP(D42/3,0)</f>
        <v>Q2</v>
      </c>
      <c r="G42" s="10" t="str">
        <f aca="false">IF(OR(D42=12,D42&lt;=2),"Winter",IF(D42&lt;=5,"Spring",IF(D42&lt;=8,"Summer","Autumn")))</f>
        <v>Spring</v>
      </c>
      <c r="H42" s="11" t="n">
        <f aca="false">weather_data!E42-weather_data!D42</f>
        <v>0.400000000000002</v>
      </c>
      <c r="I42" s="10" t="n">
        <f aca="false">IF(OR(weather_data!H42="light rain",weather_data!H42="moderate rain",weather_data!H42="drizzle",weather_data!H42="thunderstorm"),1,0)</f>
        <v>0</v>
      </c>
      <c r="J42" s="10" t="n">
        <f aca="false">IF(weather_data!I42&gt;=25,1,0)</f>
        <v>0</v>
      </c>
    </row>
    <row r="43" customFormat="false" ht="15" hidden="false" customHeight="false" outlineLevel="0" collapsed="false">
      <c r="A43" s="8" t="n">
        <f aca="false">weather_data!B43</f>
        <v>45795.5555555556</v>
      </c>
      <c r="B43" s="9" t="n">
        <f aca="false">INT(A43)</f>
        <v>45795</v>
      </c>
      <c r="C43" s="10" t="str">
        <f aca="false">TEXT(B43,"yyyy-mm")</f>
        <v>2025-05</v>
      </c>
      <c r="D43" s="10" t="n">
        <f aca="false">MONTH(B43)</f>
        <v>5</v>
      </c>
      <c r="E43" s="10" t="str">
        <f aca="false">TEXT(B43,"mmmm")</f>
        <v>maj</v>
      </c>
      <c r="F43" s="10" t="str">
        <f aca="false">"Q"&amp;ROUNDUP(D43/3,0)</f>
        <v>Q2</v>
      </c>
      <c r="G43" s="10" t="str">
        <f aca="false">IF(OR(D43=12,D43&lt;=2),"Winter",IF(D43&lt;=5,"Spring",IF(D43&lt;=8,"Summer","Autumn")))</f>
        <v>Spring</v>
      </c>
      <c r="H43" s="11" t="n">
        <f aca="false">weather_data!E43-weather_data!D43</f>
        <v>-0.600000000000001</v>
      </c>
      <c r="I43" s="10" t="n">
        <f aca="false">IF(OR(weather_data!H43="light rain",weather_data!H43="moderate rain",weather_data!H43="drizzle",weather_data!H43="thunderstorm"),1,0)</f>
        <v>0</v>
      </c>
      <c r="J43" s="10" t="n">
        <f aca="false">IF(weather_data!I43&gt;=25,1,0)</f>
        <v>0</v>
      </c>
    </row>
    <row r="44" customFormat="false" ht="15" hidden="false" customHeight="false" outlineLevel="0" collapsed="false">
      <c r="A44" s="8" t="n">
        <f aca="false">weather_data!B44</f>
        <v>45796.4930555556</v>
      </c>
      <c r="B44" s="9" t="n">
        <f aca="false">INT(A44)</f>
        <v>45796</v>
      </c>
      <c r="C44" s="10" t="str">
        <f aca="false">TEXT(B44,"yyyy-mm")</f>
        <v>2025-05</v>
      </c>
      <c r="D44" s="10" t="n">
        <f aca="false">MONTH(B44)</f>
        <v>5</v>
      </c>
      <c r="E44" s="10" t="str">
        <f aca="false">TEXT(B44,"mmmm")</f>
        <v>maj</v>
      </c>
      <c r="F44" s="10" t="str">
        <f aca="false">"Q"&amp;ROUNDUP(D44/3,0)</f>
        <v>Q2</v>
      </c>
      <c r="G44" s="10" t="str">
        <f aca="false">IF(OR(D44=12,D44&lt;=2),"Winter",IF(D44&lt;=5,"Spring",IF(D44&lt;=8,"Summer","Autumn")))</f>
        <v>Spring</v>
      </c>
      <c r="H44" s="11" t="n">
        <f aca="false">weather_data!E44-weather_data!D44</f>
        <v>0.600000000000001</v>
      </c>
      <c r="I44" s="10" t="n">
        <f aca="false">IF(OR(weather_data!H44="light rain",weather_data!H44="moderate rain",weather_data!H44="drizzle",weather_data!H44="thunderstorm"),1,0)</f>
        <v>1</v>
      </c>
      <c r="J44" s="10" t="n">
        <f aca="false">IF(weather_data!I44&gt;=25,1,0)</f>
        <v>0</v>
      </c>
    </row>
    <row r="45" customFormat="false" ht="15" hidden="false" customHeight="false" outlineLevel="0" collapsed="false">
      <c r="A45" s="8" t="n">
        <f aca="false">weather_data!B45</f>
        <v>45797.3958333333</v>
      </c>
      <c r="B45" s="9" t="n">
        <f aca="false">INT(A45)</f>
        <v>45797</v>
      </c>
      <c r="C45" s="10" t="str">
        <f aca="false">TEXT(B45,"yyyy-mm")</f>
        <v>2025-05</v>
      </c>
      <c r="D45" s="10" t="n">
        <f aca="false">MONTH(B45)</f>
        <v>5</v>
      </c>
      <c r="E45" s="10" t="str">
        <f aca="false">TEXT(B45,"mmmm")</f>
        <v>maj</v>
      </c>
      <c r="F45" s="10" t="str">
        <f aca="false">"Q"&amp;ROUNDUP(D45/3,0)</f>
        <v>Q2</v>
      </c>
      <c r="G45" s="10" t="str">
        <f aca="false">IF(OR(D45=12,D45&lt;=2),"Winter",IF(D45&lt;=5,"Spring",IF(D45&lt;=8,"Summer","Autumn")))</f>
        <v>Spring</v>
      </c>
      <c r="H45" s="11" t="n">
        <f aca="false">weather_data!E45-weather_data!D45</f>
        <v>0.799999999999997</v>
      </c>
      <c r="I45" s="10" t="n">
        <f aca="false">IF(OR(weather_data!H45="light rain",weather_data!H45="moderate rain",weather_data!H45="drizzle",weather_data!H45="thunderstorm"),1,0)</f>
        <v>1</v>
      </c>
      <c r="J45" s="10" t="n">
        <f aca="false">IF(weather_data!I45&gt;=25,1,0)</f>
        <v>1</v>
      </c>
    </row>
    <row r="46" customFormat="false" ht="15" hidden="false" customHeight="false" outlineLevel="0" collapsed="false">
      <c r="A46" s="8" t="n">
        <f aca="false">weather_data!B46</f>
        <v>45798.3125</v>
      </c>
      <c r="B46" s="9" t="n">
        <f aca="false">INT(A46)</f>
        <v>45798</v>
      </c>
      <c r="C46" s="10" t="str">
        <f aca="false">TEXT(B46,"yyyy-mm")</f>
        <v>2025-05</v>
      </c>
      <c r="D46" s="10" t="n">
        <f aca="false">MONTH(B46)</f>
        <v>5</v>
      </c>
      <c r="E46" s="10" t="str">
        <f aca="false">TEXT(B46,"mmmm")</f>
        <v>maj</v>
      </c>
      <c r="F46" s="10" t="str">
        <f aca="false">"Q"&amp;ROUNDUP(D46/3,0)</f>
        <v>Q2</v>
      </c>
      <c r="G46" s="10" t="str">
        <f aca="false">IF(OR(D46=12,D46&lt;=2),"Winter",IF(D46&lt;=5,"Spring",IF(D46&lt;=8,"Summer","Autumn")))</f>
        <v>Spring</v>
      </c>
      <c r="H46" s="11" t="n">
        <f aca="false">weather_data!E46-weather_data!D46</f>
        <v>-1.1</v>
      </c>
      <c r="I46" s="10" t="n">
        <f aca="false">IF(OR(weather_data!H46="light rain",weather_data!H46="moderate rain",weather_data!H46="drizzle",weather_data!H46="thunderstorm"),1,0)</f>
        <v>0</v>
      </c>
      <c r="J46" s="10" t="n">
        <f aca="false">IF(weather_data!I46&gt;=25,1,0)</f>
        <v>0</v>
      </c>
    </row>
    <row r="47" customFormat="false" ht="15" hidden="false" customHeight="false" outlineLevel="0" collapsed="false">
      <c r="A47" s="8" t="n">
        <f aca="false">weather_data!B47</f>
        <v>45799.5486111111</v>
      </c>
      <c r="B47" s="9" t="n">
        <f aca="false">INT(A47)</f>
        <v>45799</v>
      </c>
      <c r="C47" s="10" t="str">
        <f aca="false">TEXT(B47,"yyyy-mm")</f>
        <v>2025-05</v>
      </c>
      <c r="D47" s="10" t="n">
        <f aca="false">MONTH(B47)</f>
        <v>5</v>
      </c>
      <c r="E47" s="10" t="str">
        <f aca="false">TEXT(B47,"mmmm")</f>
        <v>maj</v>
      </c>
      <c r="F47" s="10" t="str">
        <f aca="false">"Q"&amp;ROUNDUP(D47/3,0)</f>
        <v>Q2</v>
      </c>
      <c r="G47" s="10" t="str">
        <f aca="false">IF(OR(D47=12,D47&lt;=2),"Winter",IF(D47&lt;=5,"Spring",IF(D47&lt;=8,"Summer","Autumn")))</f>
        <v>Spring</v>
      </c>
      <c r="H47" s="11" t="n">
        <f aca="false">weather_data!E47-weather_data!D47</f>
        <v>0.900000000000002</v>
      </c>
      <c r="I47" s="10" t="n">
        <f aca="false">IF(OR(weather_data!H47="light rain",weather_data!H47="moderate rain",weather_data!H47="drizzle",weather_data!H47="thunderstorm"),1,0)</f>
        <v>0</v>
      </c>
      <c r="J47" s="10" t="n">
        <f aca="false">IF(weather_data!I47&gt;=25,1,0)</f>
        <v>0</v>
      </c>
    </row>
    <row r="48" customFormat="false" ht="15" hidden="false" customHeight="false" outlineLevel="0" collapsed="false">
      <c r="A48" s="8" t="n">
        <f aca="false">weather_data!B48</f>
        <v>45800.8472222222</v>
      </c>
      <c r="B48" s="9" t="n">
        <f aca="false">INT(A48)</f>
        <v>45800</v>
      </c>
      <c r="C48" s="10" t="str">
        <f aca="false">TEXT(B48,"yyyy-mm")</f>
        <v>2025-05</v>
      </c>
      <c r="D48" s="10" t="n">
        <f aca="false">MONTH(B48)</f>
        <v>5</v>
      </c>
      <c r="E48" s="10" t="str">
        <f aca="false">TEXT(B48,"mmmm")</f>
        <v>maj</v>
      </c>
      <c r="F48" s="10" t="str">
        <f aca="false">"Q"&amp;ROUNDUP(D48/3,0)</f>
        <v>Q2</v>
      </c>
      <c r="G48" s="10" t="str">
        <f aca="false">IF(OR(D48=12,D48&lt;=2),"Winter",IF(D48&lt;=5,"Spring",IF(D48&lt;=8,"Summer","Autumn")))</f>
        <v>Spring</v>
      </c>
      <c r="H48" s="11" t="n">
        <f aca="false">weather_data!E48-weather_data!D48</f>
        <v>-0.100000000000001</v>
      </c>
      <c r="I48" s="10" t="n">
        <f aca="false">IF(OR(weather_data!H48="light rain",weather_data!H48="moderate rain",weather_data!H48="drizzle",weather_data!H48="thunderstorm"),1,0)</f>
        <v>0</v>
      </c>
      <c r="J48" s="10" t="n">
        <f aca="false">IF(weather_data!I48&gt;=25,1,0)</f>
        <v>0</v>
      </c>
    </row>
    <row r="49" customFormat="false" ht="15" hidden="false" customHeight="false" outlineLevel="0" collapsed="false">
      <c r="A49" s="8" t="n">
        <f aca="false">weather_data!B49</f>
        <v>45801.6319444445</v>
      </c>
      <c r="B49" s="9" t="n">
        <f aca="false">INT(A49)</f>
        <v>45801</v>
      </c>
      <c r="C49" s="10" t="str">
        <f aca="false">TEXT(B49,"yyyy-mm")</f>
        <v>2025-05</v>
      </c>
      <c r="D49" s="10" t="n">
        <f aca="false">MONTH(B49)</f>
        <v>5</v>
      </c>
      <c r="E49" s="10" t="str">
        <f aca="false">TEXT(B49,"mmmm")</f>
        <v>maj</v>
      </c>
      <c r="F49" s="10" t="str">
        <f aca="false">"Q"&amp;ROUNDUP(D49/3,0)</f>
        <v>Q2</v>
      </c>
      <c r="G49" s="10" t="str">
        <f aca="false">IF(OR(D49=12,D49&lt;=2),"Winter",IF(D49&lt;=5,"Spring",IF(D49&lt;=8,"Summer","Autumn")))</f>
        <v>Spring</v>
      </c>
      <c r="H49" s="11" t="n">
        <f aca="false">weather_data!E49-weather_data!D49</f>
        <v>1.1</v>
      </c>
      <c r="I49" s="10" t="n">
        <f aca="false">IF(OR(weather_data!H49="light rain",weather_data!H49="moderate rain",weather_data!H49="drizzle",weather_data!H49="thunderstorm"),1,0)</f>
        <v>1</v>
      </c>
      <c r="J49" s="10" t="n">
        <f aca="false">IF(weather_data!I49&gt;=25,1,0)</f>
        <v>0</v>
      </c>
    </row>
    <row r="50" customFormat="false" ht="15" hidden="false" customHeight="false" outlineLevel="0" collapsed="false">
      <c r="A50" s="8" t="n">
        <f aca="false">weather_data!B50</f>
        <v>45802.5416666667</v>
      </c>
      <c r="B50" s="9" t="n">
        <f aca="false">INT(A50)</f>
        <v>45802</v>
      </c>
      <c r="C50" s="10" t="str">
        <f aca="false">TEXT(B50,"yyyy-mm")</f>
        <v>2025-05</v>
      </c>
      <c r="D50" s="10" t="n">
        <f aca="false">MONTH(B50)</f>
        <v>5</v>
      </c>
      <c r="E50" s="10" t="str">
        <f aca="false">TEXT(B50,"mmmm")</f>
        <v>maj</v>
      </c>
      <c r="F50" s="10" t="str">
        <f aca="false">"Q"&amp;ROUNDUP(D50/3,0)</f>
        <v>Q2</v>
      </c>
      <c r="G50" s="10" t="str">
        <f aca="false">IF(OR(D50=12,D50&lt;=2),"Winter",IF(D50&lt;=5,"Spring",IF(D50&lt;=8,"Summer","Autumn")))</f>
        <v>Spring</v>
      </c>
      <c r="H50" s="11" t="n">
        <f aca="false">weather_data!E50-weather_data!D50</f>
        <v>-0.900000000000002</v>
      </c>
      <c r="I50" s="10" t="n">
        <f aca="false">IF(OR(weather_data!H50="light rain",weather_data!H50="moderate rain",weather_data!H50="drizzle",weather_data!H50="thunderstorm"),1,0)</f>
        <v>0</v>
      </c>
      <c r="J50" s="10" t="n">
        <f aca="false">IF(weather_data!I50&gt;=25,1,0)</f>
        <v>0</v>
      </c>
    </row>
    <row r="51" customFormat="false" ht="15" hidden="false" customHeight="false" outlineLevel="0" collapsed="false">
      <c r="A51" s="8" t="n">
        <f aca="false">weather_data!B51</f>
        <v>45803.5208333333</v>
      </c>
      <c r="B51" s="9" t="n">
        <f aca="false">INT(A51)</f>
        <v>45803</v>
      </c>
      <c r="C51" s="10" t="str">
        <f aca="false">TEXT(B51,"yyyy-mm")</f>
        <v>2025-05</v>
      </c>
      <c r="D51" s="10" t="n">
        <f aca="false">MONTH(B51)</f>
        <v>5</v>
      </c>
      <c r="E51" s="10" t="str">
        <f aca="false">TEXT(B51,"mmmm")</f>
        <v>maj</v>
      </c>
      <c r="F51" s="10" t="str">
        <f aca="false">"Q"&amp;ROUNDUP(D51/3,0)</f>
        <v>Q2</v>
      </c>
      <c r="G51" s="10" t="str">
        <f aca="false">IF(OR(D51=12,D51&lt;=2),"Winter",IF(D51&lt;=5,"Spring",IF(D51&lt;=8,"Summer","Autumn")))</f>
        <v>Spring</v>
      </c>
      <c r="H51" s="11" t="n">
        <f aca="false">weather_data!E51-weather_data!D51</f>
        <v>0.399999999999999</v>
      </c>
      <c r="I51" s="10" t="n">
        <f aca="false">IF(OR(weather_data!H51="light rain",weather_data!H51="moderate rain",weather_data!H51="drizzle",weather_data!H51="thunderstorm"),1,0)</f>
        <v>0</v>
      </c>
      <c r="J51" s="10" t="n">
        <f aca="false">IF(weather_data!I51&gt;=25,1,0)</f>
        <v>0</v>
      </c>
    </row>
    <row r="52" customFormat="false" ht="15" hidden="false" customHeight="false" outlineLevel="0" collapsed="false">
      <c r="A52" s="8" t="n">
        <f aca="false">weather_data!B52</f>
        <v>45804.6805555556</v>
      </c>
      <c r="B52" s="9" t="n">
        <f aca="false">INT(A52)</f>
        <v>45804</v>
      </c>
      <c r="C52" s="10" t="str">
        <f aca="false">TEXT(B52,"yyyy-mm")</f>
        <v>2025-05</v>
      </c>
      <c r="D52" s="10" t="n">
        <f aca="false">MONTH(B52)</f>
        <v>5</v>
      </c>
      <c r="E52" s="10" t="str">
        <f aca="false">TEXT(B52,"mmmm")</f>
        <v>maj</v>
      </c>
      <c r="F52" s="10" t="str">
        <f aca="false">"Q"&amp;ROUNDUP(D52/3,0)</f>
        <v>Q2</v>
      </c>
      <c r="G52" s="10" t="str">
        <f aca="false">IF(OR(D52=12,D52&lt;=2),"Winter",IF(D52&lt;=5,"Spring",IF(D52&lt;=8,"Summer","Autumn")))</f>
        <v>Spring</v>
      </c>
      <c r="H52" s="11" t="n">
        <f aca="false">weather_data!E52-weather_data!D52</f>
        <v>0.800000000000001</v>
      </c>
      <c r="I52" s="10" t="n">
        <f aca="false">IF(OR(weather_data!H52="light rain",weather_data!H52="moderate rain",weather_data!H52="drizzle",weather_data!H52="thunderstorm"),1,0)</f>
        <v>0</v>
      </c>
      <c r="J52" s="10" t="n">
        <f aca="false">IF(weather_data!I52&gt;=25,1,0)</f>
        <v>0</v>
      </c>
    </row>
    <row r="53" customFormat="false" ht="15" hidden="false" customHeight="false" outlineLevel="0" collapsed="false">
      <c r="A53" s="8" t="n">
        <f aca="false">weather_data!B53</f>
        <v>45805.3472222222</v>
      </c>
      <c r="B53" s="9" t="n">
        <f aca="false">INT(A53)</f>
        <v>45805</v>
      </c>
      <c r="C53" s="10" t="str">
        <f aca="false">TEXT(B53,"yyyy-mm")</f>
        <v>2025-05</v>
      </c>
      <c r="D53" s="10" t="n">
        <f aca="false">MONTH(B53)</f>
        <v>5</v>
      </c>
      <c r="E53" s="10" t="str">
        <f aca="false">TEXT(B53,"mmmm")</f>
        <v>maj</v>
      </c>
      <c r="F53" s="10" t="str">
        <f aca="false">"Q"&amp;ROUNDUP(D53/3,0)</f>
        <v>Q2</v>
      </c>
      <c r="G53" s="10" t="str">
        <f aca="false">IF(OR(D53=12,D53&lt;=2),"Winter",IF(D53&lt;=5,"Spring",IF(D53&lt;=8,"Summer","Autumn")))</f>
        <v>Spring</v>
      </c>
      <c r="H53" s="11" t="n">
        <f aca="false">weather_data!E53-weather_data!D53</f>
        <v>-0.100000000000001</v>
      </c>
      <c r="I53" s="10" t="n">
        <f aca="false">IF(OR(weather_data!H53="light rain",weather_data!H53="moderate rain",weather_data!H53="drizzle",weather_data!H53="thunderstorm"),1,0)</f>
        <v>0</v>
      </c>
      <c r="J53" s="10" t="n">
        <f aca="false">IF(weather_data!I53&gt;=25,1,0)</f>
        <v>0</v>
      </c>
    </row>
    <row r="54" customFormat="false" ht="15" hidden="false" customHeight="false" outlineLevel="0" collapsed="false">
      <c r="A54" s="8" t="n">
        <f aca="false">weather_data!B54</f>
        <v>45806.7430555556</v>
      </c>
      <c r="B54" s="9" t="n">
        <f aca="false">INT(A54)</f>
        <v>45806</v>
      </c>
      <c r="C54" s="10" t="str">
        <f aca="false">TEXT(B54,"yyyy-mm")</f>
        <v>2025-05</v>
      </c>
      <c r="D54" s="10" t="n">
        <f aca="false">MONTH(B54)</f>
        <v>5</v>
      </c>
      <c r="E54" s="10" t="str">
        <f aca="false">TEXT(B54,"mmmm")</f>
        <v>maj</v>
      </c>
      <c r="F54" s="10" t="str">
        <f aca="false">"Q"&amp;ROUNDUP(D54/3,0)</f>
        <v>Q2</v>
      </c>
      <c r="G54" s="10" t="str">
        <f aca="false">IF(OR(D54=12,D54&lt;=2),"Winter",IF(D54&lt;=5,"Spring",IF(D54&lt;=8,"Summer","Autumn")))</f>
        <v>Spring</v>
      </c>
      <c r="H54" s="11" t="n">
        <f aca="false">weather_data!E54-weather_data!D54</f>
        <v>0.399999999999999</v>
      </c>
      <c r="I54" s="10" t="n">
        <f aca="false">IF(OR(weather_data!H54="light rain",weather_data!H54="moderate rain",weather_data!H54="drizzle",weather_data!H54="thunderstorm"),1,0)</f>
        <v>0</v>
      </c>
      <c r="J54" s="10" t="n">
        <f aca="false">IF(weather_data!I54&gt;=25,1,0)</f>
        <v>1</v>
      </c>
    </row>
    <row r="55" customFormat="false" ht="15" hidden="false" customHeight="false" outlineLevel="0" collapsed="false">
      <c r="A55" s="8" t="n">
        <f aca="false">weather_data!B55</f>
        <v>45808.7847222222</v>
      </c>
      <c r="B55" s="9" t="n">
        <f aca="false">INT(A55)</f>
        <v>45808</v>
      </c>
      <c r="C55" s="10" t="str">
        <f aca="false">TEXT(B55,"yyyy-mm")</f>
        <v>2025-05</v>
      </c>
      <c r="D55" s="10" t="n">
        <f aca="false">MONTH(B55)</f>
        <v>5</v>
      </c>
      <c r="E55" s="10" t="str">
        <f aca="false">TEXT(B55,"mmmm")</f>
        <v>maj</v>
      </c>
      <c r="F55" s="10" t="str">
        <f aca="false">"Q"&amp;ROUNDUP(D55/3,0)</f>
        <v>Q2</v>
      </c>
      <c r="G55" s="10" t="str">
        <f aca="false">IF(OR(D55=12,D55&lt;=2),"Winter",IF(D55&lt;=5,"Spring",IF(D55&lt;=8,"Summer","Autumn")))</f>
        <v>Spring</v>
      </c>
      <c r="H55" s="11" t="n">
        <f aca="false">weather_data!E55-weather_data!D55</f>
        <v>0.800000000000001</v>
      </c>
      <c r="I55" s="10" t="n">
        <f aca="false">IF(OR(weather_data!H55="light rain",weather_data!H55="moderate rain",weather_data!H55="drizzle",weather_data!H55="thunderstorm"),1,0)</f>
        <v>0</v>
      </c>
      <c r="J55" s="10" t="n">
        <f aca="false">IF(weather_data!I55&gt;=25,1,0)</f>
        <v>0</v>
      </c>
    </row>
    <row r="56" customFormat="false" ht="15" hidden="false" customHeight="false" outlineLevel="0" collapsed="false">
      <c r="A56" s="8" t="n">
        <f aca="false">weather_data!B56</f>
        <v>45809.6666666667</v>
      </c>
      <c r="B56" s="9" t="n">
        <f aca="false">INT(A56)</f>
        <v>45809</v>
      </c>
      <c r="C56" s="10" t="str">
        <f aca="false">TEXT(B56,"yyyy-mm")</f>
        <v>2025-06</v>
      </c>
      <c r="D56" s="10" t="n">
        <f aca="false">MONTH(B56)</f>
        <v>6</v>
      </c>
      <c r="E56" s="10" t="str">
        <f aca="false">TEXT(B56,"mmmm")</f>
        <v>czerwiec</v>
      </c>
      <c r="F56" s="10" t="str">
        <f aca="false">"Q"&amp;ROUNDUP(D56/3,0)</f>
        <v>Q2</v>
      </c>
      <c r="G56" s="10" t="str">
        <f aca="false">IF(OR(D56=12,D56&lt;=2),"Winter",IF(D56&lt;=5,"Spring",IF(D56&lt;=8,"Summer","Autumn")))</f>
        <v>Summer</v>
      </c>
      <c r="H56" s="11" t="n">
        <f aca="false">weather_data!E56-weather_data!D56</f>
        <v>0.199999999999999</v>
      </c>
      <c r="I56" s="10" t="n">
        <f aca="false">IF(OR(weather_data!H56="light rain",weather_data!H56="moderate rain",weather_data!H56="drizzle",weather_data!H56="thunderstorm"),1,0)</f>
        <v>0</v>
      </c>
      <c r="J56" s="10" t="n">
        <f aca="false">IF(weather_data!I56&gt;=25,1,0)</f>
        <v>0</v>
      </c>
    </row>
    <row r="57" customFormat="false" ht="15" hidden="false" customHeight="false" outlineLevel="0" collapsed="false">
      <c r="A57" s="8" t="n">
        <f aca="false">weather_data!B57</f>
        <v>45810.3888888889</v>
      </c>
      <c r="B57" s="9" t="n">
        <f aca="false">INT(A57)</f>
        <v>45810</v>
      </c>
      <c r="C57" s="10" t="str">
        <f aca="false">TEXT(B57,"yyyy-mm")</f>
        <v>2025-06</v>
      </c>
      <c r="D57" s="10" t="n">
        <f aca="false">MONTH(B57)</f>
        <v>6</v>
      </c>
      <c r="E57" s="10" t="str">
        <f aca="false">TEXT(B57,"mmmm")</f>
        <v>czerwiec</v>
      </c>
      <c r="F57" s="10" t="str">
        <f aca="false">"Q"&amp;ROUNDUP(D57/3,0)</f>
        <v>Q2</v>
      </c>
      <c r="G57" s="10" t="str">
        <f aca="false">IF(OR(D57=12,D57&lt;=2),"Winter",IF(D57&lt;=5,"Spring",IF(D57&lt;=8,"Summer","Autumn")))</f>
        <v>Summer</v>
      </c>
      <c r="H57" s="11" t="n">
        <f aca="false">weather_data!E57-weather_data!D57</f>
        <v>0.900000000000002</v>
      </c>
      <c r="I57" s="10" t="n">
        <f aca="false">IF(OR(weather_data!H57="light rain",weather_data!H57="moderate rain",weather_data!H57="drizzle",weather_data!H57="thunderstorm"),1,0)</f>
        <v>0</v>
      </c>
      <c r="J57" s="10" t="n">
        <f aca="false">IF(weather_data!I57&gt;=25,1,0)</f>
        <v>0</v>
      </c>
    </row>
    <row r="58" customFormat="false" ht="15" hidden="false" customHeight="false" outlineLevel="0" collapsed="false">
      <c r="A58" s="8" t="n">
        <f aca="false">weather_data!B58</f>
        <v>45811.4861111111</v>
      </c>
      <c r="B58" s="9" t="n">
        <f aca="false">INT(A58)</f>
        <v>45811</v>
      </c>
      <c r="C58" s="10" t="str">
        <f aca="false">TEXT(B58,"yyyy-mm")</f>
        <v>2025-06</v>
      </c>
      <c r="D58" s="10" t="n">
        <f aca="false">MONTH(B58)</f>
        <v>6</v>
      </c>
      <c r="E58" s="10" t="str">
        <f aca="false">TEXT(B58,"mmmm")</f>
        <v>czerwiec</v>
      </c>
      <c r="F58" s="10" t="str">
        <f aca="false">"Q"&amp;ROUNDUP(D58/3,0)</f>
        <v>Q2</v>
      </c>
      <c r="G58" s="10" t="str">
        <f aca="false">IF(OR(D58=12,D58&lt;=2),"Winter",IF(D58&lt;=5,"Spring",IF(D58&lt;=8,"Summer","Autumn")))</f>
        <v>Summer</v>
      </c>
      <c r="H58" s="11" t="n">
        <f aca="false">weather_data!E58-weather_data!D58</f>
        <v>-0.899999999999999</v>
      </c>
      <c r="I58" s="10" t="n">
        <f aca="false">IF(OR(weather_data!H58="light rain",weather_data!H58="moderate rain",weather_data!H58="drizzle",weather_data!H58="thunderstorm"),1,0)</f>
        <v>0</v>
      </c>
      <c r="J58" s="10" t="n">
        <f aca="false">IF(weather_data!I58&gt;=25,1,0)</f>
        <v>0</v>
      </c>
    </row>
    <row r="59" customFormat="false" ht="15" hidden="false" customHeight="false" outlineLevel="0" collapsed="false">
      <c r="A59" s="8" t="n">
        <f aca="false">weather_data!B59</f>
        <v>45812.5833333333</v>
      </c>
      <c r="B59" s="9" t="n">
        <f aca="false">INT(A59)</f>
        <v>45812</v>
      </c>
      <c r="C59" s="10" t="str">
        <f aca="false">TEXT(B59,"yyyy-mm")</f>
        <v>2025-06</v>
      </c>
      <c r="D59" s="10" t="n">
        <f aca="false">MONTH(B59)</f>
        <v>6</v>
      </c>
      <c r="E59" s="10" t="str">
        <f aca="false">TEXT(B59,"mmmm")</f>
        <v>czerwiec</v>
      </c>
      <c r="F59" s="10" t="str">
        <f aca="false">"Q"&amp;ROUNDUP(D59/3,0)</f>
        <v>Q2</v>
      </c>
      <c r="G59" s="10" t="str">
        <f aca="false">IF(OR(D59=12,D59&lt;=2),"Winter",IF(D59&lt;=5,"Spring",IF(D59&lt;=8,"Summer","Autumn")))</f>
        <v>Summer</v>
      </c>
      <c r="H59" s="11" t="n">
        <f aca="false">weather_data!E59-weather_data!D59</f>
        <v>0.600000000000001</v>
      </c>
      <c r="I59" s="10" t="n">
        <f aca="false">IF(OR(weather_data!H59="light rain",weather_data!H59="moderate rain",weather_data!H59="drizzle",weather_data!H59="thunderstorm"),1,0)</f>
        <v>0</v>
      </c>
      <c r="J59" s="10" t="n">
        <f aca="false">IF(weather_data!I59&gt;=25,1,0)</f>
        <v>0</v>
      </c>
    </row>
    <row r="60" customFormat="false" ht="15" hidden="false" customHeight="false" outlineLevel="0" collapsed="false">
      <c r="A60" s="8" t="n">
        <f aca="false">weather_data!B60</f>
        <v>45813.4027777778</v>
      </c>
      <c r="B60" s="9" t="n">
        <f aca="false">INT(A60)</f>
        <v>45813</v>
      </c>
      <c r="C60" s="10" t="str">
        <f aca="false">TEXT(B60,"yyyy-mm")</f>
        <v>2025-06</v>
      </c>
      <c r="D60" s="10" t="n">
        <f aca="false">MONTH(B60)</f>
        <v>6</v>
      </c>
      <c r="E60" s="10" t="str">
        <f aca="false">TEXT(B60,"mmmm")</f>
        <v>czerwiec</v>
      </c>
      <c r="F60" s="10" t="str">
        <f aca="false">"Q"&amp;ROUNDUP(D60/3,0)</f>
        <v>Q2</v>
      </c>
      <c r="G60" s="10" t="str">
        <f aca="false">IF(OR(D60=12,D60&lt;=2),"Winter",IF(D60&lt;=5,"Spring",IF(D60&lt;=8,"Summer","Autumn")))</f>
        <v>Summer</v>
      </c>
      <c r="H60" s="11" t="n">
        <f aca="false">weather_data!E60-weather_data!D60</f>
        <v>0.899999999999999</v>
      </c>
      <c r="I60" s="10" t="n">
        <f aca="false">IF(OR(weather_data!H60="light rain",weather_data!H60="moderate rain",weather_data!H60="drizzle",weather_data!H60="thunderstorm"),1,0)</f>
        <v>0</v>
      </c>
      <c r="J60" s="10" t="n">
        <f aca="false">IF(weather_data!I60&gt;=25,1,0)</f>
        <v>0</v>
      </c>
    </row>
    <row r="61" customFormat="false" ht="15" hidden="false" customHeight="false" outlineLevel="0" collapsed="false">
      <c r="A61" s="8" t="n">
        <f aca="false">weather_data!B61</f>
        <v>45814.8055555556</v>
      </c>
      <c r="B61" s="9" t="n">
        <f aca="false">INT(A61)</f>
        <v>45814</v>
      </c>
      <c r="C61" s="10" t="str">
        <f aca="false">TEXT(B61,"yyyy-mm")</f>
        <v>2025-06</v>
      </c>
      <c r="D61" s="10" t="n">
        <f aca="false">MONTH(B61)</f>
        <v>6</v>
      </c>
      <c r="E61" s="10" t="str">
        <f aca="false">TEXT(B61,"mmmm")</f>
        <v>czerwiec</v>
      </c>
      <c r="F61" s="10" t="str">
        <f aca="false">"Q"&amp;ROUNDUP(D61/3,0)</f>
        <v>Q2</v>
      </c>
      <c r="G61" s="10" t="str">
        <f aca="false">IF(OR(D61=12,D61&lt;=2),"Winter",IF(D61&lt;=5,"Spring",IF(D61&lt;=8,"Summer","Autumn")))</f>
        <v>Summer</v>
      </c>
      <c r="H61" s="11" t="n">
        <f aca="false">weather_data!E61-weather_data!D61</f>
        <v>-0.100000000000001</v>
      </c>
      <c r="I61" s="10" t="n">
        <f aca="false">IF(OR(weather_data!H61="light rain",weather_data!H61="moderate rain",weather_data!H61="drizzle",weather_data!H61="thunderstorm"),1,0)</f>
        <v>0</v>
      </c>
      <c r="J61" s="10" t="n">
        <f aca="false">IF(weather_data!I61&gt;=25,1,0)</f>
        <v>0</v>
      </c>
    </row>
    <row r="62" customFormat="false" ht="15" hidden="false" customHeight="false" outlineLevel="0" collapsed="false">
      <c r="A62" s="8" t="n">
        <f aca="false">weather_data!B62</f>
        <v>45815.6875</v>
      </c>
      <c r="B62" s="9" t="n">
        <f aca="false">INT(A62)</f>
        <v>45815</v>
      </c>
      <c r="C62" s="10" t="str">
        <f aca="false">TEXT(B62,"yyyy-mm")</f>
        <v>2025-06</v>
      </c>
      <c r="D62" s="10" t="n">
        <f aca="false">MONTH(B62)</f>
        <v>6</v>
      </c>
      <c r="E62" s="10" t="str">
        <f aca="false">TEXT(B62,"mmmm")</f>
        <v>czerwiec</v>
      </c>
      <c r="F62" s="10" t="str">
        <f aca="false">"Q"&amp;ROUNDUP(D62/3,0)</f>
        <v>Q2</v>
      </c>
      <c r="G62" s="10" t="str">
        <f aca="false">IF(OR(D62=12,D62&lt;=2),"Winter",IF(D62&lt;=5,"Spring",IF(D62&lt;=8,"Summer","Autumn")))</f>
        <v>Summer</v>
      </c>
      <c r="H62" s="11" t="n">
        <f aca="false">weather_data!E62-weather_data!D62</f>
        <v>-1.1</v>
      </c>
      <c r="I62" s="10" t="n">
        <f aca="false">IF(OR(weather_data!H62="light rain",weather_data!H62="moderate rain",weather_data!H62="drizzle",weather_data!H62="thunderstorm"),1,0)</f>
        <v>1</v>
      </c>
      <c r="J62" s="10" t="n">
        <f aca="false">IF(weather_data!I62&gt;=25,1,0)</f>
        <v>0</v>
      </c>
    </row>
    <row r="63" customFormat="false" ht="15" hidden="false" customHeight="false" outlineLevel="0" collapsed="false">
      <c r="A63" s="8" t="n">
        <f aca="false">weather_data!B63</f>
        <v>45816.3958333333</v>
      </c>
      <c r="B63" s="9" t="n">
        <f aca="false">INT(A63)</f>
        <v>45816</v>
      </c>
      <c r="C63" s="10" t="str">
        <f aca="false">TEXT(B63,"yyyy-mm")</f>
        <v>2025-06</v>
      </c>
      <c r="D63" s="10" t="n">
        <f aca="false">MONTH(B63)</f>
        <v>6</v>
      </c>
      <c r="E63" s="10" t="str">
        <f aca="false">TEXT(B63,"mmmm")</f>
        <v>czerwiec</v>
      </c>
      <c r="F63" s="10" t="str">
        <f aca="false">"Q"&amp;ROUNDUP(D63/3,0)</f>
        <v>Q2</v>
      </c>
      <c r="G63" s="10" t="str">
        <f aca="false">IF(OR(D63=12,D63&lt;=2),"Winter",IF(D63&lt;=5,"Spring",IF(D63&lt;=8,"Summer","Autumn")))</f>
        <v>Summer</v>
      </c>
      <c r="H63" s="11" t="n">
        <f aca="false">weather_data!E63-weather_data!D63</f>
        <v>0.900000000000002</v>
      </c>
      <c r="I63" s="10" t="n">
        <f aca="false">IF(OR(weather_data!H63="light rain",weather_data!H63="moderate rain",weather_data!H63="drizzle",weather_data!H63="thunderstorm"),1,0)</f>
        <v>0</v>
      </c>
      <c r="J63" s="10" t="n">
        <f aca="false">IF(weather_data!I63&gt;=25,1,0)</f>
        <v>0</v>
      </c>
    </row>
    <row r="64" customFormat="false" ht="15" hidden="false" customHeight="false" outlineLevel="0" collapsed="false">
      <c r="A64" s="8" t="n">
        <f aca="false">weather_data!B64</f>
        <v>45817.5138888889</v>
      </c>
      <c r="B64" s="9" t="n">
        <f aca="false">INT(A64)</f>
        <v>45817</v>
      </c>
      <c r="C64" s="10" t="str">
        <f aca="false">TEXT(B64,"yyyy-mm")</f>
        <v>2025-06</v>
      </c>
      <c r="D64" s="10" t="n">
        <f aca="false">MONTH(B64)</f>
        <v>6</v>
      </c>
      <c r="E64" s="10" t="str">
        <f aca="false">TEXT(B64,"mmmm")</f>
        <v>czerwiec</v>
      </c>
      <c r="F64" s="10" t="str">
        <f aca="false">"Q"&amp;ROUNDUP(D64/3,0)</f>
        <v>Q2</v>
      </c>
      <c r="G64" s="10" t="str">
        <f aca="false">IF(OR(D64=12,D64&lt;=2),"Winter",IF(D64&lt;=5,"Spring",IF(D64&lt;=8,"Summer","Autumn")))</f>
        <v>Summer</v>
      </c>
      <c r="H64" s="11" t="n">
        <f aca="false">weather_data!E64-weather_data!D64</f>
        <v>-1.2</v>
      </c>
      <c r="I64" s="10" t="n">
        <f aca="false">IF(OR(weather_data!H64="light rain",weather_data!H64="moderate rain",weather_data!H64="drizzle",weather_data!H64="thunderstorm"),1,0)</f>
        <v>0</v>
      </c>
      <c r="J64" s="10" t="n">
        <f aca="false">IF(weather_data!I64&gt;=25,1,0)</f>
        <v>0</v>
      </c>
    </row>
    <row r="65" customFormat="false" ht="15" hidden="false" customHeight="false" outlineLevel="0" collapsed="false">
      <c r="A65" s="8" t="n">
        <f aca="false">weather_data!B65</f>
        <v>45818.3263888889</v>
      </c>
      <c r="B65" s="9" t="n">
        <f aca="false">INT(A65)</f>
        <v>45818</v>
      </c>
      <c r="C65" s="10" t="str">
        <f aca="false">TEXT(B65,"yyyy-mm")</f>
        <v>2025-06</v>
      </c>
      <c r="D65" s="10" t="n">
        <f aca="false">MONTH(B65)</f>
        <v>6</v>
      </c>
      <c r="E65" s="10" t="str">
        <f aca="false">TEXT(B65,"mmmm")</f>
        <v>czerwiec</v>
      </c>
      <c r="F65" s="10" t="str">
        <f aca="false">"Q"&amp;ROUNDUP(D65/3,0)</f>
        <v>Q2</v>
      </c>
      <c r="G65" s="10" t="str">
        <f aca="false">IF(OR(D65=12,D65&lt;=2),"Winter",IF(D65&lt;=5,"Spring",IF(D65&lt;=8,"Summer","Autumn")))</f>
        <v>Summer</v>
      </c>
      <c r="H65" s="11" t="n">
        <f aca="false">weather_data!E65-weather_data!D65</f>
        <v>0.600000000000001</v>
      </c>
      <c r="I65" s="10" t="n">
        <f aca="false">IF(OR(weather_data!H65="light rain",weather_data!H65="moderate rain",weather_data!H65="drizzle",weather_data!H65="thunderstorm"),1,0)</f>
        <v>0</v>
      </c>
      <c r="J65" s="10" t="n">
        <f aca="false">IF(weather_data!I65&gt;=25,1,0)</f>
        <v>0</v>
      </c>
    </row>
    <row r="66" customFormat="false" ht="15" hidden="false" customHeight="false" outlineLevel="0" collapsed="false">
      <c r="A66" s="8" t="n">
        <f aca="false">weather_data!B66</f>
        <v>45819.7916666667</v>
      </c>
      <c r="B66" s="9" t="n">
        <f aca="false">INT(A66)</f>
        <v>45819</v>
      </c>
      <c r="C66" s="10" t="str">
        <f aca="false">TEXT(B66,"yyyy-mm")</f>
        <v>2025-06</v>
      </c>
      <c r="D66" s="10" t="n">
        <f aca="false">MONTH(B66)</f>
        <v>6</v>
      </c>
      <c r="E66" s="10" t="str">
        <f aca="false">TEXT(B66,"mmmm")</f>
        <v>czerwiec</v>
      </c>
      <c r="F66" s="10" t="str">
        <f aca="false">"Q"&amp;ROUNDUP(D66/3,0)</f>
        <v>Q2</v>
      </c>
      <c r="G66" s="10" t="str">
        <f aca="false">IF(OR(D66=12,D66&lt;=2),"Winter",IF(D66&lt;=5,"Spring",IF(D66&lt;=8,"Summer","Autumn")))</f>
        <v>Summer</v>
      </c>
      <c r="H66" s="11" t="n">
        <f aca="false">weather_data!E66-weather_data!D66</f>
        <v>0.399999999999999</v>
      </c>
      <c r="I66" s="10" t="n">
        <f aca="false">IF(OR(weather_data!H66="light rain",weather_data!H66="moderate rain",weather_data!H66="drizzle",weather_data!H66="thunderstorm"),1,0)</f>
        <v>0</v>
      </c>
      <c r="J66" s="10" t="n">
        <f aca="false">IF(weather_data!I66&gt;=25,1,0)</f>
        <v>0</v>
      </c>
    </row>
    <row r="67" customFormat="false" ht="15" hidden="false" customHeight="false" outlineLevel="0" collapsed="false">
      <c r="A67" s="8" t="n">
        <f aca="false">weather_data!B67</f>
        <v>45821.5138888889</v>
      </c>
      <c r="B67" s="9" t="n">
        <f aca="false">INT(A67)</f>
        <v>45821</v>
      </c>
      <c r="C67" s="10" t="str">
        <f aca="false">TEXT(B67,"yyyy-mm")</f>
        <v>2025-06</v>
      </c>
      <c r="D67" s="10" t="n">
        <f aca="false">MONTH(B67)</f>
        <v>6</v>
      </c>
      <c r="E67" s="10" t="str">
        <f aca="false">TEXT(B67,"mmmm")</f>
        <v>czerwiec</v>
      </c>
      <c r="F67" s="10" t="str">
        <f aca="false">"Q"&amp;ROUNDUP(D67/3,0)</f>
        <v>Q2</v>
      </c>
      <c r="G67" s="10" t="str">
        <f aca="false">IF(OR(D67=12,D67&lt;=2),"Winter",IF(D67&lt;=5,"Spring",IF(D67&lt;=8,"Summer","Autumn")))</f>
        <v>Summer</v>
      </c>
      <c r="H67" s="11" t="n">
        <f aca="false">weather_data!E67-weather_data!D67</f>
        <v>0.199999999999999</v>
      </c>
      <c r="I67" s="10" t="n">
        <f aca="false">IF(OR(weather_data!H67="light rain",weather_data!H67="moderate rain",weather_data!H67="drizzle",weather_data!H67="thunderstorm"),1,0)</f>
        <v>0</v>
      </c>
      <c r="J67" s="10" t="n">
        <f aca="false">IF(weather_data!I67&gt;=25,1,0)</f>
        <v>0</v>
      </c>
    </row>
    <row r="68" customFormat="false" ht="15" hidden="false" customHeight="false" outlineLevel="0" collapsed="false">
      <c r="A68" s="8" t="n">
        <f aca="false">weather_data!B68</f>
        <v>45822.7916666667</v>
      </c>
      <c r="B68" s="9" t="n">
        <f aca="false">INT(A68)</f>
        <v>45822</v>
      </c>
      <c r="C68" s="10" t="str">
        <f aca="false">TEXT(B68,"yyyy-mm")</f>
        <v>2025-06</v>
      </c>
      <c r="D68" s="10" t="n">
        <f aca="false">MONTH(B68)</f>
        <v>6</v>
      </c>
      <c r="E68" s="10" t="str">
        <f aca="false">TEXT(B68,"mmmm")</f>
        <v>czerwiec</v>
      </c>
      <c r="F68" s="10" t="str">
        <f aca="false">"Q"&amp;ROUNDUP(D68/3,0)</f>
        <v>Q2</v>
      </c>
      <c r="G68" s="10" t="str">
        <f aca="false">IF(OR(D68=12,D68&lt;=2),"Winter",IF(D68&lt;=5,"Spring",IF(D68&lt;=8,"Summer","Autumn")))</f>
        <v>Summer</v>
      </c>
      <c r="H68" s="11" t="n">
        <f aca="false">weather_data!E68-weather_data!D68</f>
        <v>-0.300000000000001</v>
      </c>
      <c r="I68" s="10" t="n">
        <f aca="false">IF(OR(weather_data!H68="light rain",weather_data!H68="moderate rain",weather_data!H68="drizzle",weather_data!H68="thunderstorm"),1,0)</f>
        <v>1</v>
      </c>
      <c r="J68" s="10" t="n">
        <f aca="false">IF(weather_data!I68&gt;=25,1,0)</f>
        <v>0</v>
      </c>
    </row>
    <row r="69" customFormat="false" ht="15" hidden="false" customHeight="false" outlineLevel="0" collapsed="false">
      <c r="A69" s="8" t="n">
        <f aca="false">weather_data!B69</f>
        <v>45823.6944444445</v>
      </c>
      <c r="B69" s="9" t="n">
        <f aca="false">INT(A69)</f>
        <v>45823</v>
      </c>
      <c r="C69" s="10" t="str">
        <f aca="false">TEXT(B69,"yyyy-mm")</f>
        <v>2025-06</v>
      </c>
      <c r="D69" s="10" t="n">
        <f aca="false">MONTH(B69)</f>
        <v>6</v>
      </c>
      <c r="E69" s="10" t="str">
        <f aca="false">TEXT(B69,"mmmm")</f>
        <v>czerwiec</v>
      </c>
      <c r="F69" s="10" t="str">
        <f aca="false">"Q"&amp;ROUNDUP(D69/3,0)</f>
        <v>Q2</v>
      </c>
      <c r="G69" s="10" t="str">
        <f aca="false">IF(OR(D69=12,D69&lt;=2),"Winter",IF(D69&lt;=5,"Spring",IF(D69&lt;=8,"Summer","Autumn")))</f>
        <v>Summer</v>
      </c>
      <c r="H69" s="11" t="n">
        <f aca="false">weather_data!E69-weather_data!D69</f>
        <v>0.699999999999999</v>
      </c>
      <c r="I69" s="10" t="n">
        <f aca="false">IF(OR(weather_data!H69="light rain",weather_data!H69="moderate rain",weather_data!H69="drizzle",weather_data!H69="thunderstorm"),1,0)</f>
        <v>1</v>
      </c>
      <c r="J69" s="10" t="n">
        <f aca="false">IF(weather_data!I69&gt;=25,1,0)</f>
        <v>0</v>
      </c>
    </row>
    <row r="70" customFormat="false" ht="15" hidden="false" customHeight="false" outlineLevel="0" collapsed="false">
      <c r="A70" s="8" t="n">
        <f aca="false">weather_data!B70</f>
        <v>45824.7013888889</v>
      </c>
      <c r="B70" s="9" t="n">
        <f aca="false">INT(A70)</f>
        <v>45824</v>
      </c>
      <c r="C70" s="10" t="str">
        <f aca="false">TEXT(B70,"yyyy-mm")</f>
        <v>2025-06</v>
      </c>
      <c r="D70" s="10" t="n">
        <f aca="false">MONTH(B70)</f>
        <v>6</v>
      </c>
      <c r="E70" s="10" t="str">
        <f aca="false">TEXT(B70,"mmmm")</f>
        <v>czerwiec</v>
      </c>
      <c r="F70" s="10" t="str">
        <f aca="false">"Q"&amp;ROUNDUP(D70/3,0)</f>
        <v>Q2</v>
      </c>
      <c r="G70" s="10" t="str">
        <f aca="false">IF(OR(D70=12,D70&lt;=2),"Winter",IF(D70&lt;=5,"Spring",IF(D70&lt;=8,"Summer","Autumn")))</f>
        <v>Summer</v>
      </c>
      <c r="H70" s="11" t="n">
        <f aca="false">weather_data!E70-weather_data!D70</f>
        <v>-0.699999999999999</v>
      </c>
      <c r="I70" s="10" t="n">
        <f aca="false">IF(OR(weather_data!H70="light rain",weather_data!H70="moderate rain",weather_data!H70="drizzle",weather_data!H70="thunderstorm"),1,0)</f>
        <v>1</v>
      </c>
      <c r="J70" s="10" t="n">
        <f aca="false">IF(weather_data!I70&gt;=25,1,0)</f>
        <v>0</v>
      </c>
    </row>
    <row r="71" customFormat="false" ht="15" hidden="false" customHeight="false" outlineLevel="0" collapsed="false">
      <c r="A71" s="8" t="n">
        <f aca="false">weather_data!B71</f>
        <v>45825.4097222222</v>
      </c>
      <c r="B71" s="9" t="n">
        <f aca="false">INT(A71)</f>
        <v>45825</v>
      </c>
      <c r="C71" s="10" t="str">
        <f aca="false">TEXT(B71,"yyyy-mm")</f>
        <v>2025-06</v>
      </c>
      <c r="D71" s="10" t="n">
        <f aca="false">MONTH(B71)</f>
        <v>6</v>
      </c>
      <c r="E71" s="10" t="str">
        <f aca="false">TEXT(B71,"mmmm")</f>
        <v>czerwiec</v>
      </c>
      <c r="F71" s="10" t="str">
        <f aca="false">"Q"&amp;ROUNDUP(D71/3,0)</f>
        <v>Q2</v>
      </c>
      <c r="G71" s="10" t="str">
        <f aca="false">IF(OR(D71=12,D71&lt;=2),"Winter",IF(D71&lt;=5,"Spring",IF(D71&lt;=8,"Summer","Autumn")))</f>
        <v>Summer</v>
      </c>
      <c r="H71" s="11" t="n">
        <f aca="false">weather_data!E71-weather_data!D71</f>
        <v>1.1</v>
      </c>
      <c r="I71" s="10" t="n">
        <f aca="false">IF(OR(weather_data!H71="light rain",weather_data!H71="moderate rain",weather_data!H71="drizzle",weather_data!H71="thunderstorm"),1,0)</f>
        <v>0</v>
      </c>
      <c r="J71" s="10" t="n">
        <f aca="false">IF(weather_data!I71&gt;=25,1,0)</f>
        <v>0</v>
      </c>
    </row>
    <row r="72" customFormat="false" ht="15" hidden="false" customHeight="false" outlineLevel="0" collapsed="false">
      <c r="A72" s="8" t="n">
        <f aca="false">weather_data!B72</f>
        <v>45827.6527777778</v>
      </c>
      <c r="B72" s="9" t="n">
        <f aca="false">INT(A72)</f>
        <v>45827</v>
      </c>
      <c r="C72" s="10" t="str">
        <f aca="false">TEXT(B72,"yyyy-mm")</f>
        <v>2025-06</v>
      </c>
      <c r="D72" s="10" t="n">
        <f aca="false">MONTH(B72)</f>
        <v>6</v>
      </c>
      <c r="E72" s="10" t="str">
        <f aca="false">TEXT(B72,"mmmm")</f>
        <v>czerwiec</v>
      </c>
      <c r="F72" s="10" t="str">
        <f aca="false">"Q"&amp;ROUNDUP(D72/3,0)</f>
        <v>Q2</v>
      </c>
      <c r="G72" s="10" t="str">
        <f aca="false">IF(OR(D72=12,D72&lt;=2),"Winter",IF(D72&lt;=5,"Spring",IF(D72&lt;=8,"Summer","Autumn")))</f>
        <v>Summer</v>
      </c>
      <c r="H72" s="11" t="n">
        <f aca="false">weather_data!E72-weather_data!D72</f>
        <v>-1.1</v>
      </c>
      <c r="I72" s="10" t="n">
        <f aca="false">IF(OR(weather_data!H72="light rain",weather_data!H72="moderate rain",weather_data!H72="drizzle",weather_data!H72="thunderstorm"),1,0)</f>
        <v>0</v>
      </c>
      <c r="J72" s="10" t="n">
        <f aca="false">IF(weather_data!I72&gt;=25,1,0)</f>
        <v>0</v>
      </c>
    </row>
    <row r="73" customFormat="false" ht="15" hidden="false" customHeight="false" outlineLevel="0" collapsed="false">
      <c r="A73" s="8" t="n">
        <f aca="false">weather_data!B73</f>
        <v>45829.6597222222</v>
      </c>
      <c r="B73" s="9" t="n">
        <f aca="false">INT(A73)</f>
        <v>45829</v>
      </c>
      <c r="C73" s="10" t="str">
        <f aca="false">TEXT(B73,"yyyy-mm")</f>
        <v>2025-06</v>
      </c>
      <c r="D73" s="10" t="n">
        <f aca="false">MONTH(B73)</f>
        <v>6</v>
      </c>
      <c r="E73" s="10" t="str">
        <f aca="false">TEXT(B73,"mmmm")</f>
        <v>czerwiec</v>
      </c>
      <c r="F73" s="10" t="str">
        <f aca="false">"Q"&amp;ROUNDUP(D73/3,0)</f>
        <v>Q2</v>
      </c>
      <c r="G73" s="10" t="str">
        <f aca="false">IF(OR(D73=12,D73&lt;=2),"Winter",IF(D73&lt;=5,"Spring",IF(D73&lt;=8,"Summer","Autumn")))</f>
        <v>Summer</v>
      </c>
      <c r="H73" s="11" t="n">
        <f aca="false">weather_data!E73-weather_data!D73</f>
        <v>1.2</v>
      </c>
      <c r="I73" s="10" t="n">
        <f aca="false">IF(OR(weather_data!H73="light rain",weather_data!H73="moderate rain",weather_data!H73="drizzle",weather_data!H73="thunderstorm"),1,0)</f>
        <v>0</v>
      </c>
      <c r="J73" s="10" t="n">
        <f aca="false">IF(weather_data!I73&gt;=25,1,0)</f>
        <v>0</v>
      </c>
    </row>
    <row r="74" customFormat="false" ht="15" hidden="false" customHeight="false" outlineLevel="0" collapsed="false">
      <c r="A74" s="8" t="n">
        <f aca="false">weather_data!B74</f>
        <v>45830.8055555556</v>
      </c>
      <c r="B74" s="9" t="n">
        <f aca="false">INT(A74)</f>
        <v>45830</v>
      </c>
      <c r="C74" s="10" t="str">
        <f aca="false">TEXT(B74,"yyyy-mm")</f>
        <v>2025-06</v>
      </c>
      <c r="D74" s="10" t="n">
        <f aca="false">MONTH(B74)</f>
        <v>6</v>
      </c>
      <c r="E74" s="10" t="str">
        <f aca="false">TEXT(B74,"mmmm")</f>
        <v>czerwiec</v>
      </c>
      <c r="F74" s="10" t="str">
        <f aca="false">"Q"&amp;ROUNDUP(D74/3,0)</f>
        <v>Q2</v>
      </c>
      <c r="G74" s="10" t="str">
        <f aca="false">IF(OR(D74=12,D74&lt;=2),"Winter",IF(D74&lt;=5,"Spring",IF(D74&lt;=8,"Summer","Autumn")))</f>
        <v>Summer</v>
      </c>
      <c r="H74" s="11" t="n">
        <f aca="false">weather_data!E74-weather_data!D74</f>
        <v>-0.300000000000001</v>
      </c>
      <c r="I74" s="10" t="n">
        <f aca="false">IF(OR(weather_data!H74="light rain",weather_data!H74="moderate rain",weather_data!H74="drizzle",weather_data!H74="thunderstorm"),1,0)</f>
        <v>0</v>
      </c>
      <c r="J74" s="10" t="n">
        <f aca="false">IF(weather_data!I74&gt;=25,1,0)</f>
        <v>0</v>
      </c>
    </row>
    <row r="75" customFormat="false" ht="15" hidden="false" customHeight="false" outlineLevel="0" collapsed="false">
      <c r="A75" s="8" t="n">
        <f aca="false">weather_data!B75</f>
        <v>45831.7847222222</v>
      </c>
      <c r="B75" s="9" t="n">
        <f aca="false">INT(A75)</f>
        <v>45831</v>
      </c>
      <c r="C75" s="10" t="str">
        <f aca="false">TEXT(B75,"yyyy-mm")</f>
        <v>2025-06</v>
      </c>
      <c r="D75" s="10" t="n">
        <f aca="false">MONTH(B75)</f>
        <v>6</v>
      </c>
      <c r="E75" s="10" t="str">
        <f aca="false">TEXT(B75,"mmmm")</f>
        <v>czerwiec</v>
      </c>
      <c r="F75" s="10" t="str">
        <f aca="false">"Q"&amp;ROUNDUP(D75/3,0)</f>
        <v>Q2</v>
      </c>
      <c r="G75" s="10" t="str">
        <f aca="false">IF(OR(D75=12,D75&lt;=2),"Winter",IF(D75&lt;=5,"Spring",IF(D75&lt;=8,"Summer","Autumn")))</f>
        <v>Summer</v>
      </c>
      <c r="H75" s="11" t="n">
        <f aca="false">weather_data!E75-weather_data!D75</f>
        <v>-0.199999999999999</v>
      </c>
      <c r="I75" s="10" t="n">
        <f aca="false">IF(OR(weather_data!H75="light rain",weather_data!H75="moderate rain",weather_data!H75="drizzle",weather_data!H75="thunderstorm"),1,0)</f>
        <v>0</v>
      </c>
      <c r="J75" s="10" t="n">
        <f aca="false">IF(weather_data!I75&gt;=25,1,0)</f>
        <v>0</v>
      </c>
    </row>
    <row r="76" customFormat="false" ht="15" hidden="false" customHeight="false" outlineLevel="0" collapsed="false">
      <c r="A76" s="8" t="n">
        <f aca="false">weather_data!B76</f>
        <v>45832.6527777778</v>
      </c>
      <c r="B76" s="9" t="n">
        <f aca="false">INT(A76)</f>
        <v>45832</v>
      </c>
      <c r="C76" s="10" t="str">
        <f aca="false">TEXT(B76,"yyyy-mm")</f>
        <v>2025-06</v>
      </c>
      <c r="D76" s="10" t="n">
        <f aca="false">MONTH(B76)</f>
        <v>6</v>
      </c>
      <c r="E76" s="10" t="str">
        <f aca="false">TEXT(B76,"mmmm")</f>
        <v>czerwiec</v>
      </c>
      <c r="F76" s="10" t="str">
        <f aca="false">"Q"&amp;ROUNDUP(D76/3,0)</f>
        <v>Q2</v>
      </c>
      <c r="G76" s="10" t="str">
        <f aca="false">IF(OR(D76=12,D76&lt;=2),"Winter",IF(D76&lt;=5,"Spring",IF(D76&lt;=8,"Summer","Autumn")))</f>
        <v>Summer</v>
      </c>
      <c r="H76" s="11" t="n">
        <f aca="false">weather_data!E76-weather_data!D76</f>
        <v>0.5</v>
      </c>
      <c r="I76" s="10" t="n">
        <f aca="false">IF(OR(weather_data!H76="light rain",weather_data!H76="moderate rain",weather_data!H76="drizzle",weather_data!H76="thunderstorm"),1,0)</f>
        <v>0</v>
      </c>
      <c r="J76" s="10" t="n">
        <f aca="false">IF(weather_data!I76&gt;=25,1,0)</f>
        <v>0</v>
      </c>
    </row>
    <row r="77" customFormat="false" ht="15" hidden="false" customHeight="false" outlineLevel="0" collapsed="false">
      <c r="A77" s="8" t="n">
        <f aca="false">weather_data!B77</f>
        <v>45833.4236111111</v>
      </c>
      <c r="B77" s="9" t="n">
        <f aca="false">INT(A77)</f>
        <v>45833</v>
      </c>
      <c r="C77" s="10" t="str">
        <f aca="false">TEXT(B77,"yyyy-mm")</f>
        <v>2025-06</v>
      </c>
      <c r="D77" s="10" t="n">
        <f aca="false">MONTH(B77)</f>
        <v>6</v>
      </c>
      <c r="E77" s="10" t="str">
        <f aca="false">TEXT(B77,"mmmm")</f>
        <v>czerwiec</v>
      </c>
      <c r="F77" s="10" t="str">
        <f aca="false">"Q"&amp;ROUNDUP(D77/3,0)</f>
        <v>Q2</v>
      </c>
      <c r="G77" s="10" t="str">
        <f aca="false">IF(OR(D77=12,D77&lt;=2),"Winter",IF(D77&lt;=5,"Spring",IF(D77&lt;=8,"Summer","Autumn")))</f>
        <v>Summer</v>
      </c>
      <c r="H77" s="11" t="n">
        <f aca="false">weather_data!E77-weather_data!D77</f>
        <v>0.199999999999999</v>
      </c>
      <c r="I77" s="10" t="n">
        <f aca="false">IF(OR(weather_data!H77="light rain",weather_data!H77="moderate rain",weather_data!H77="drizzle",weather_data!H77="thunderstorm"),1,0)</f>
        <v>0</v>
      </c>
      <c r="J77" s="10" t="n">
        <f aca="false">IF(weather_data!I77&gt;=25,1,0)</f>
        <v>0</v>
      </c>
    </row>
    <row r="78" customFormat="false" ht="15" hidden="false" customHeight="false" outlineLevel="0" collapsed="false">
      <c r="A78" s="8" t="n">
        <f aca="false">weather_data!B78</f>
        <v>45834.8263888889</v>
      </c>
      <c r="B78" s="9" t="n">
        <f aca="false">INT(A78)</f>
        <v>45834</v>
      </c>
      <c r="C78" s="10" t="str">
        <f aca="false">TEXT(B78,"yyyy-mm")</f>
        <v>2025-06</v>
      </c>
      <c r="D78" s="10" t="n">
        <f aca="false">MONTH(B78)</f>
        <v>6</v>
      </c>
      <c r="E78" s="10" t="str">
        <f aca="false">TEXT(B78,"mmmm")</f>
        <v>czerwiec</v>
      </c>
      <c r="F78" s="10" t="str">
        <f aca="false">"Q"&amp;ROUNDUP(D78/3,0)</f>
        <v>Q2</v>
      </c>
      <c r="G78" s="10" t="str">
        <f aca="false">IF(OR(D78=12,D78&lt;=2),"Winter",IF(D78&lt;=5,"Spring",IF(D78&lt;=8,"Summer","Autumn")))</f>
        <v>Summer</v>
      </c>
      <c r="H78" s="11" t="n">
        <f aca="false">weather_data!E78-weather_data!D78</f>
        <v>0.699999999999999</v>
      </c>
      <c r="I78" s="10" t="n">
        <f aca="false">IF(OR(weather_data!H78="light rain",weather_data!H78="moderate rain",weather_data!H78="drizzle",weather_data!H78="thunderstorm"),1,0)</f>
        <v>0</v>
      </c>
      <c r="J78" s="10" t="n">
        <f aca="false">IF(weather_data!I78&gt;=25,1,0)</f>
        <v>0</v>
      </c>
    </row>
    <row r="79" customFormat="false" ht="15" hidden="false" customHeight="false" outlineLevel="0" collapsed="false">
      <c r="A79" s="8" t="n">
        <f aca="false">weather_data!B79</f>
        <v>45835.7847222222</v>
      </c>
      <c r="B79" s="9" t="n">
        <f aca="false">INT(A79)</f>
        <v>45835</v>
      </c>
      <c r="C79" s="10" t="str">
        <f aca="false">TEXT(B79,"yyyy-mm")</f>
        <v>2025-06</v>
      </c>
      <c r="D79" s="10" t="n">
        <f aca="false">MONTH(B79)</f>
        <v>6</v>
      </c>
      <c r="E79" s="10" t="str">
        <f aca="false">TEXT(B79,"mmmm")</f>
        <v>czerwiec</v>
      </c>
      <c r="F79" s="10" t="str">
        <f aca="false">"Q"&amp;ROUNDUP(D79/3,0)</f>
        <v>Q2</v>
      </c>
      <c r="G79" s="10" t="str">
        <f aca="false">IF(OR(D79=12,D79&lt;=2),"Winter",IF(D79&lt;=5,"Spring",IF(D79&lt;=8,"Summer","Autumn")))</f>
        <v>Summer</v>
      </c>
      <c r="H79" s="11" t="n">
        <f aca="false">weather_data!E79-weather_data!D79</f>
        <v>0.600000000000001</v>
      </c>
      <c r="I79" s="10" t="n">
        <f aca="false">IF(OR(weather_data!H79="light rain",weather_data!H79="moderate rain",weather_data!H79="drizzle",weather_data!H79="thunderstorm"),1,0)</f>
        <v>1</v>
      </c>
      <c r="J79" s="10" t="n">
        <f aca="false">IF(weather_data!I79&gt;=25,1,0)</f>
        <v>1</v>
      </c>
    </row>
    <row r="80" customFormat="false" ht="15" hidden="false" customHeight="false" outlineLevel="0" collapsed="false">
      <c r="A80" s="8" t="n">
        <f aca="false">weather_data!B80</f>
        <v>45836.4861111111</v>
      </c>
      <c r="B80" s="9" t="n">
        <f aca="false">INT(A80)</f>
        <v>45836</v>
      </c>
      <c r="C80" s="10" t="str">
        <f aca="false">TEXT(B80,"yyyy-mm")</f>
        <v>2025-06</v>
      </c>
      <c r="D80" s="10" t="n">
        <f aca="false">MONTH(B80)</f>
        <v>6</v>
      </c>
      <c r="E80" s="10" t="str">
        <f aca="false">TEXT(B80,"mmmm")</f>
        <v>czerwiec</v>
      </c>
      <c r="F80" s="10" t="str">
        <f aca="false">"Q"&amp;ROUNDUP(D80/3,0)</f>
        <v>Q2</v>
      </c>
      <c r="G80" s="10" t="str">
        <f aca="false">IF(OR(D80=12,D80&lt;=2),"Winter",IF(D80&lt;=5,"Spring",IF(D80&lt;=8,"Summer","Autumn")))</f>
        <v>Summer</v>
      </c>
      <c r="H80" s="11" t="n">
        <f aca="false">weather_data!E80-weather_data!D80</f>
        <v>-0.100000000000001</v>
      </c>
      <c r="I80" s="10" t="n">
        <f aca="false">IF(OR(weather_data!H80="light rain",weather_data!H80="moderate rain",weather_data!H80="drizzle",weather_data!H80="thunderstorm"),1,0)</f>
        <v>1</v>
      </c>
      <c r="J80" s="10" t="n">
        <f aca="false">IF(weather_data!I80&gt;=25,1,0)</f>
        <v>0</v>
      </c>
    </row>
    <row r="81" customFormat="false" ht="15" hidden="false" customHeight="false" outlineLevel="0" collapsed="false">
      <c r="A81" s="8" t="n">
        <f aca="false">weather_data!B81</f>
        <v>45837.6458333333</v>
      </c>
      <c r="B81" s="9" t="n">
        <f aca="false">INT(A81)</f>
        <v>45837</v>
      </c>
      <c r="C81" s="10" t="str">
        <f aca="false">TEXT(B81,"yyyy-mm")</f>
        <v>2025-06</v>
      </c>
      <c r="D81" s="10" t="n">
        <f aca="false">MONTH(B81)</f>
        <v>6</v>
      </c>
      <c r="E81" s="10" t="str">
        <f aca="false">TEXT(B81,"mmmm")</f>
        <v>czerwiec</v>
      </c>
      <c r="F81" s="10" t="str">
        <f aca="false">"Q"&amp;ROUNDUP(D81/3,0)</f>
        <v>Q2</v>
      </c>
      <c r="G81" s="10" t="str">
        <f aca="false">IF(OR(D81=12,D81&lt;=2),"Winter",IF(D81&lt;=5,"Spring",IF(D81&lt;=8,"Summer","Autumn")))</f>
        <v>Summer</v>
      </c>
      <c r="H81" s="11" t="n">
        <f aca="false">weather_data!E81-weather_data!D81</f>
        <v>-0.899999999999999</v>
      </c>
      <c r="I81" s="10" t="n">
        <f aca="false">IF(OR(weather_data!H81="light rain",weather_data!H81="moderate rain",weather_data!H81="drizzle",weather_data!H81="thunderstorm"),1,0)</f>
        <v>0</v>
      </c>
      <c r="J81" s="10" t="n">
        <f aca="false">IF(weather_data!I81&gt;=25,1,0)</f>
        <v>0</v>
      </c>
    </row>
    <row r="82" customFormat="false" ht="15" hidden="false" customHeight="false" outlineLevel="0" collapsed="false">
      <c r="A82" s="8" t="n">
        <f aca="false">weather_data!B82</f>
        <v>45838.2638888889</v>
      </c>
      <c r="B82" s="9" t="n">
        <f aca="false">INT(A82)</f>
        <v>45838</v>
      </c>
      <c r="C82" s="10" t="str">
        <f aca="false">TEXT(B82,"yyyy-mm")</f>
        <v>2025-06</v>
      </c>
      <c r="D82" s="10" t="n">
        <f aca="false">MONTH(B82)</f>
        <v>6</v>
      </c>
      <c r="E82" s="10" t="str">
        <f aca="false">TEXT(B82,"mmmm")</f>
        <v>czerwiec</v>
      </c>
      <c r="F82" s="10" t="str">
        <f aca="false">"Q"&amp;ROUNDUP(D82/3,0)</f>
        <v>Q2</v>
      </c>
      <c r="G82" s="10" t="str">
        <f aca="false">IF(OR(D82=12,D82&lt;=2),"Winter",IF(D82&lt;=5,"Spring",IF(D82&lt;=8,"Summer","Autumn")))</f>
        <v>Summer</v>
      </c>
      <c r="H82" s="11" t="n">
        <f aca="false">weather_data!E82-weather_data!D82</f>
        <v>0.599999999999998</v>
      </c>
      <c r="I82" s="10" t="n">
        <f aca="false">IF(OR(weather_data!H82="light rain",weather_data!H82="moderate rain",weather_data!H82="drizzle",weather_data!H82="thunderstorm"),1,0)</f>
        <v>1</v>
      </c>
      <c r="J82" s="10" t="n">
        <f aca="false">IF(weather_data!I82&gt;=25,1,0)</f>
        <v>0</v>
      </c>
    </row>
    <row r="83" customFormat="false" ht="15" hidden="false" customHeight="false" outlineLevel="0" collapsed="false">
      <c r="A83" s="8" t="n">
        <f aca="false">weather_data!B83</f>
        <v>45839.6319444445</v>
      </c>
      <c r="B83" s="9" t="n">
        <f aca="false">INT(A83)</f>
        <v>45839</v>
      </c>
      <c r="C83" s="10" t="str">
        <f aca="false">TEXT(B83,"yyyy-mm")</f>
        <v>2025-07</v>
      </c>
      <c r="D83" s="10" t="n">
        <f aca="false">MONTH(B83)</f>
        <v>7</v>
      </c>
      <c r="E83" s="10" t="str">
        <f aca="false">TEXT(B83,"mmmm")</f>
        <v>lipiec</v>
      </c>
      <c r="F83" s="10" t="str">
        <f aca="false">"Q"&amp;ROUNDUP(D83/3,0)</f>
        <v>Q3</v>
      </c>
      <c r="G83" s="10" t="str">
        <f aca="false">IF(OR(D83=12,D83&lt;=2),"Winter",IF(D83&lt;=5,"Spring",IF(D83&lt;=8,"Summer","Autumn")))</f>
        <v>Summer</v>
      </c>
      <c r="H83" s="11" t="n">
        <f aca="false">weather_data!E83-weather_data!D83</f>
        <v>-0.5</v>
      </c>
      <c r="I83" s="10" t="n">
        <f aca="false">IF(OR(weather_data!H83="light rain",weather_data!H83="moderate rain",weather_data!H83="drizzle",weather_data!H83="thunderstorm"),1,0)</f>
        <v>0</v>
      </c>
      <c r="J83" s="10" t="n">
        <f aca="false">IF(weather_data!I83&gt;=25,1,0)</f>
        <v>0</v>
      </c>
    </row>
    <row r="84" customFormat="false" ht="15" hidden="false" customHeight="false" outlineLevel="0" collapsed="false">
      <c r="A84" s="8" t="n">
        <f aca="false">weather_data!B84</f>
        <v>45840.8194444445</v>
      </c>
      <c r="B84" s="9" t="n">
        <f aca="false">INT(A84)</f>
        <v>45840</v>
      </c>
      <c r="C84" s="10" t="str">
        <f aca="false">TEXT(B84,"yyyy-mm")</f>
        <v>2025-07</v>
      </c>
      <c r="D84" s="10" t="n">
        <f aca="false">MONTH(B84)</f>
        <v>7</v>
      </c>
      <c r="E84" s="10" t="str">
        <f aca="false">TEXT(B84,"mmmm")</f>
        <v>lipiec</v>
      </c>
      <c r="F84" s="10" t="str">
        <f aca="false">"Q"&amp;ROUNDUP(D84/3,0)</f>
        <v>Q3</v>
      </c>
      <c r="G84" s="10" t="str">
        <f aca="false">IF(OR(D84=12,D84&lt;=2),"Winter",IF(D84&lt;=5,"Spring",IF(D84&lt;=8,"Summer","Autumn")))</f>
        <v>Summer</v>
      </c>
      <c r="H84" s="11" t="n">
        <f aca="false">weather_data!E84-weather_data!D84</f>
        <v>1</v>
      </c>
      <c r="I84" s="10" t="n">
        <f aca="false">IF(OR(weather_data!H84="light rain",weather_data!H84="moderate rain",weather_data!H84="drizzle",weather_data!H84="thunderstorm"),1,0)</f>
        <v>0</v>
      </c>
      <c r="J84" s="10" t="n">
        <f aca="false">IF(weather_data!I84&gt;=25,1,0)</f>
        <v>0</v>
      </c>
    </row>
    <row r="85" customFormat="false" ht="15" hidden="false" customHeight="false" outlineLevel="0" collapsed="false">
      <c r="A85" s="8" t="n">
        <f aca="false">weather_data!B85</f>
        <v>45841.6875</v>
      </c>
      <c r="B85" s="9" t="n">
        <f aca="false">INT(A85)</f>
        <v>45841</v>
      </c>
      <c r="C85" s="10" t="str">
        <f aca="false">TEXT(B85,"yyyy-mm")</f>
        <v>2025-07</v>
      </c>
      <c r="D85" s="10" t="n">
        <f aca="false">MONTH(B85)</f>
        <v>7</v>
      </c>
      <c r="E85" s="10" t="str">
        <f aca="false">TEXT(B85,"mmmm")</f>
        <v>lipiec</v>
      </c>
      <c r="F85" s="10" t="str">
        <f aca="false">"Q"&amp;ROUNDUP(D85/3,0)</f>
        <v>Q3</v>
      </c>
      <c r="G85" s="10" t="str">
        <f aca="false">IF(OR(D85=12,D85&lt;=2),"Winter",IF(D85&lt;=5,"Spring",IF(D85&lt;=8,"Summer","Autumn")))</f>
        <v>Summer</v>
      </c>
      <c r="H85" s="11" t="n">
        <f aca="false">weather_data!E85-weather_data!D85</f>
        <v>0</v>
      </c>
      <c r="I85" s="10" t="n">
        <f aca="false">IF(OR(weather_data!H85="light rain",weather_data!H85="moderate rain",weather_data!H85="drizzle",weather_data!H85="thunderstorm"),1,0)</f>
        <v>0</v>
      </c>
      <c r="J85" s="10" t="n">
        <f aca="false">IF(weather_data!I85&gt;=25,1,0)</f>
        <v>0</v>
      </c>
    </row>
    <row r="86" customFormat="false" ht="15" hidden="false" customHeight="false" outlineLevel="0" collapsed="false">
      <c r="A86" s="8" t="n">
        <f aca="false">weather_data!B86</f>
        <v>45842.8541666667</v>
      </c>
      <c r="B86" s="9" t="n">
        <f aca="false">INT(A86)</f>
        <v>45842</v>
      </c>
      <c r="C86" s="10" t="str">
        <f aca="false">TEXT(B86,"yyyy-mm")</f>
        <v>2025-07</v>
      </c>
      <c r="D86" s="10" t="n">
        <f aca="false">MONTH(B86)</f>
        <v>7</v>
      </c>
      <c r="E86" s="10" t="str">
        <f aca="false">TEXT(B86,"mmmm")</f>
        <v>lipiec</v>
      </c>
      <c r="F86" s="10" t="str">
        <f aca="false">"Q"&amp;ROUNDUP(D86/3,0)</f>
        <v>Q3</v>
      </c>
      <c r="G86" s="10" t="str">
        <f aca="false">IF(OR(D86=12,D86&lt;=2),"Winter",IF(D86&lt;=5,"Spring",IF(D86&lt;=8,"Summer","Autumn")))</f>
        <v>Summer</v>
      </c>
      <c r="H86" s="11" t="n">
        <f aca="false">weather_data!E86-weather_data!D86</f>
        <v>-1.1</v>
      </c>
      <c r="I86" s="10" t="n">
        <f aca="false">IF(OR(weather_data!H86="light rain",weather_data!H86="moderate rain",weather_data!H86="drizzle",weather_data!H86="thunderstorm"),1,0)</f>
        <v>1</v>
      </c>
      <c r="J86" s="10" t="n">
        <f aca="false">IF(weather_data!I86&gt;=25,1,0)</f>
        <v>0</v>
      </c>
    </row>
    <row r="87" customFormat="false" ht="15" hidden="false" customHeight="false" outlineLevel="0" collapsed="false">
      <c r="A87" s="8" t="n">
        <f aca="false">weather_data!B87</f>
        <v>45843.5277777778</v>
      </c>
      <c r="B87" s="9" t="n">
        <f aca="false">INT(A87)</f>
        <v>45843</v>
      </c>
      <c r="C87" s="10" t="str">
        <f aca="false">TEXT(B87,"yyyy-mm")</f>
        <v>2025-07</v>
      </c>
      <c r="D87" s="10" t="n">
        <f aca="false">MONTH(B87)</f>
        <v>7</v>
      </c>
      <c r="E87" s="10" t="str">
        <f aca="false">TEXT(B87,"mmmm")</f>
        <v>lipiec</v>
      </c>
      <c r="F87" s="10" t="str">
        <f aca="false">"Q"&amp;ROUNDUP(D87/3,0)</f>
        <v>Q3</v>
      </c>
      <c r="G87" s="10" t="str">
        <f aca="false">IF(OR(D87=12,D87&lt;=2),"Winter",IF(D87&lt;=5,"Spring",IF(D87&lt;=8,"Summer","Autumn")))</f>
        <v>Summer</v>
      </c>
      <c r="H87" s="11" t="n">
        <f aca="false">weather_data!E87-weather_data!D87</f>
        <v>0.0999999999999979</v>
      </c>
      <c r="I87" s="10" t="n">
        <f aca="false">IF(OR(weather_data!H87="light rain",weather_data!H87="moderate rain",weather_data!H87="drizzle",weather_data!H87="thunderstorm"),1,0)</f>
        <v>1</v>
      </c>
      <c r="J87" s="10" t="n">
        <f aca="false">IF(weather_data!I87&gt;=25,1,0)</f>
        <v>1</v>
      </c>
    </row>
    <row r="88" customFormat="false" ht="15" hidden="false" customHeight="false" outlineLevel="0" collapsed="false">
      <c r="A88" s="8" t="n">
        <f aca="false">weather_data!B88</f>
        <v>45844.9097222222</v>
      </c>
      <c r="B88" s="9" t="n">
        <f aca="false">INT(A88)</f>
        <v>45844</v>
      </c>
      <c r="C88" s="10" t="str">
        <f aca="false">TEXT(B88,"yyyy-mm")</f>
        <v>2025-07</v>
      </c>
      <c r="D88" s="10" t="n">
        <f aca="false">MONTH(B88)</f>
        <v>7</v>
      </c>
      <c r="E88" s="10" t="str">
        <f aca="false">TEXT(B88,"mmmm")</f>
        <v>lipiec</v>
      </c>
      <c r="F88" s="10" t="str">
        <f aca="false">"Q"&amp;ROUNDUP(D88/3,0)</f>
        <v>Q3</v>
      </c>
      <c r="G88" s="10" t="str">
        <f aca="false">IF(OR(D88=12,D88&lt;=2),"Winter",IF(D88&lt;=5,"Spring",IF(D88&lt;=8,"Summer","Autumn")))</f>
        <v>Summer</v>
      </c>
      <c r="H88" s="11" t="n">
        <f aca="false">weather_data!E88-weather_data!D88</f>
        <v>0.300000000000001</v>
      </c>
      <c r="I88" s="10" t="n">
        <f aca="false">IF(OR(weather_data!H88="light rain",weather_data!H88="moderate rain",weather_data!H88="drizzle",weather_data!H88="thunderstorm"),1,0)</f>
        <v>0</v>
      </c>
      <c r="J88" s="10" t="n">
        <f aca="false">IF(weather_data!I88&gt;=25,1,0)</f>
        <v>0</v>
      </c>
    </row>
    <row r="89" customFormat="false" ht="15" hidden="false" customHeight="false" outlineLevel="0" collapsed="false">
      <c r="A89" s="8" t="n">
        <f aca="false">weather_data!B89</f>
        <v>45845.4930555556</v>
      </c>
      <c r="B89" s="9" t="n">
        <f aca="false">INT(A89)</f>
        <v>45845</v>
      </c>
      <c r="C89" s="10" t="str">
        <f aca="false">TEXT(B89,"yyyy-mm")</f>
        <v>2025-07</v>
      </c>
      <c r="D89" s="10" t="n">
        <f aca="false">MONTH(B89)</f>
        <v>7</v>
      </c>
      <c r="E89" s="10" t="str">
        <f aca="false">TEXT(B89,"mmmm")</f>
        <v>lipiec</v>
      </c>
      <c r="F89" s="10" t="str">
        <f aca="false">"Q"&amp;ROUNDUP(D89/3,0)</f>
        <v>Q3</v>
      </c>
      <c r="G89" s="10" t="str">
        <f aca="false">IF(OR(D89=12,D89&lt;=2),"Winter",IF(D89&lt;=5,"Spring",IF(D89&lt;=8,"Summer","Autumn")))</f>
        <v>Summer</v>
      </c>
      <c r="H89" s="11" t="n">
        <f aca="false">weather_data!E89-weather_data!D89</f>
        <v>0.399999999999999</v>
      </c>
      <c r="I89" s="10" t="n">
        <f aca="false">IF(OR(weather_data!H89="light rain",weather_data!H89="moderate rain",weather_data!H89="drizzle",weather_data!H89="thunderstorm"),1,0)</f>
        <v>0</v>
      </c>
      <c r="J89" s="10" t="n">
        <f aca="false">IF(weather_data!I89&gt;=25,1,0)</f>
        <v>0</v>
      </c>
    </row>
    <row r="90" customFormat="false" ht="15" hidden="false" customHeight="false" outlineLevel="0" collapsed="false">
      <c r="A90" s="8" t="n">
        <f aca="false">weather_data!B90</f>
        <v>45846.3472222222</v>
      </c>
      <c r="B90" s="9" t="n">
        <f aca="false">INT(A90)</f>
        <v>45846</v>
      </c>
      <c r="C90" s="10" t="str">
        <f aca="false">TEXT(B90,"yyyy-mm")</f>
        <v>2025-07</v>
      </c>
      <c r="D90" s="10" t="n">
        <f aca="false">MONTH(B90)</f>
        <v>7</v>
      </c>
      <c r="E90" s="10" t="str">
        <f aca="false">TEXT(B90,"mmmm")</f>
        <v>lipiec</v>
      </c>
      <c r="F90" s="10" t="str">
        <f aca="false">"Q"&amp;ROUNDUP(D90/3,0)</f>
        <v>Q3</v>
      </c>
      <c r="G90" s="10" t="str">
        <f aca="false">IF(OR(D90=12,D90&lt;=2),"Winter",IF(D90&lt;=5,"Spring",IF(D90&lt;=8,"Summer","Autumn")))</f>
        <v>Summer</v>
      </c>
      <c r="H90" s="11" t="n">
        <f aca="false">weather_data!E90-weather_data!D90</f>
        <v>-0.600000000000001</v>
      </c>
      <c r="I90" s="10" t="n">
        <f aca="false">IF(OR(weather_data!H90="light rain",weather_data!H90="moderate rain",weather_data!H90="drizzle",weather_data!H90="thunderstorm"),1,0)</f>
        <v>0</v>
      </c>
      <c r="J90" s="10" t="n">
        <f aca="false">IF(weather_data!I90&gt;=25,1,0)</f>
        <v>0</v>
      </c>
    </row>
    <row r="91" customFormat="false" ht="15" hidden="false" customHeight="false" outlineLevel="0" collapsed="false">
      <c r="A91" s="8" t="n">
        <f aca="false">weather_data!B91</f>
        <v>45847.6666666667</v>
      </c>
      <c r="B91" s="9" t="n">
        <f aca="false">INT(A91)</f>
        <v>45847</v>
      </c>
      <c r="C91" s="10" t="str">
        <f aca="false">TEXT(B91,"yyyy-mm")</f>
        <v>2025-07</v>
      </c>
      <c r="D91" s="10" t="n">
        <f aca="false">MONTH(B91)</f>
        <v>7</v>
      </c>
      <c r="E91" s="10" t="str">
        <f aca="false">TEXT(B91,"mmmm")</f>
        <v>lipiec</v>
      </c>
      <c r="F91" s="10" t="str">
        <f aca="false">"Q"&amp;ROUNDUP(D91/3,0)</f>
        <v>Q3</v>
      </c>
      <c r="G91" s="10" t="str">
        <f aca="false">IF(OR(D91=12,D91&lt;=2),"Winter",IF(D91&lt;=5,"Spring",IF(D91&lt;=8,"Summer","Autumn")))</f>
        <v>Summer</v>
      </c>
      <c r="H91" s="11" t="n">
        <f aca="false">weather_data!E91-weather_data!D91</f>
        <v>0.400000000000002</v>
      </c>
      <c r="I91" s="10" t="n">
        <f aca="false">IF(OR(weather_data!H91="light rain",weather_data!H91="moderate rain",weather_data!H91="drizzle",weather_data!H91="thunderstorm"),1,0)</f>
        <v>0</v>
      </c>
      <c r="J91" s="10" t="n">
        <f aca="false">IF(weather_data!I91&gt;=25,1,0)</f>
        <v>0</v>
      </c>
    </row>
    <row r="92" customFormat="false" ht="15" hidden="false" customHeight="false" outlineLevel="0" collapsed="false">
      <c r="A92" s="8" t="n">
        <f aca="false">weather_data!B92</f>
        <v>45848.5763888889</v>
      </c>
      <c r="B92" s="9" t="n">
        <f aca="false">INT(A92)</f>
        <v>45848</v>
      </c>
      <c r="C92" s="10" t="str">
        <f aca="false">TEXT(B92,"yyyy-mm")</f>
        <v>2025-07</v>
      </c>
      <c r="D92" s="10" t="n">
        <f aca="false">MONTH(B92)</f>
        <v>7</v>
      </c>
      <c r="E92" s="10" t="str">
        <f aca="false">TEXT(B92,"mmmm")</f>
        <v>lipiec</v>
      </c>
      <c r="F92" s="10" t="str">
        <f aca="false">"Q"&amp;ROUNDUP(D92/3,0)</f>
        <v>Q3</v>
      </c>
      <c r="G92" s="10" t="str">
        <f aca="false">IF(OR(D92=12,D92&lt;=2),"Winter",IF(D92&lt;=5,"Spring",IF(D92&lt;=8,"Summer","Autumn")))</f>
        <v>Summer</v>
      </c>
      <c r="H92" s="11" t="n">
        <f aca="false">weather_data!E92-weather_data!D92</f>
        <v>-0.800000000000001</v>
      </c>
      <c r="I92" s="10" t="n">
        <f aca="false">IF(OR(weather_data!H92="light rain",weather_data!H92="moderate rain",weather_data!H92="drizzle",weather_data!H92="thunderstorm"),1,0)</f>
        <v>0</v>
      </c>
      <c r="J92" s="10" t="n">
        <f aca="false">IF(weather_data!I92&gt;=25,1,0)</f>
        <v>0</v>
      </c>
    </row>
    <row r="93" customFormat="false" ht="15" hidden="false" customHeight="false" outlineLevel="0" collapsed="false">
      <c r="A93" s="8" t="n">
        <f aca="false">weather_data!B93</f>
        <v>45849.6319444445</v>
      </c>
      <c r="B93" s="9" t="n">
        <f aca="false">INT(A93)</f>
        <v>45849</v>
      </c>
      <c r="C93" s="10" t="str">
        <f aca="false">TEXT(B93,"yyyy-mm")</f>
        <v>2025-07</v>
      </c>
      <c r="D93" s="10" t="n">
        <f aca="false">MONTH(B93)</f>
        <v>7</v>
      </c>
      <c r="E93" s="10" t="str">
        <f aca="false">TEXT(B93,"mmmm")</f>
        <v>lipiec</v>
      </c>
      <c r="F93" s="10" t="str">
        <f aca="false">"Q"&amp;ROUNDUP(D93/3,0)</f>
        <v>Q3</v>
      </c>
      <c r="G93" s="10" t="str">
        <f aca="false">IF(OR(D93=12,D93&lt;=2),"Winter",IF(D93&lt;=5,"Spring",IF(D93&lt;=8,"Summer","Autumn")))</f>
        <v>Summer</v>
      </c>
      <c r="H93" s="11" t="n">
        <f aca="false">weather_data!E93-weather_data!D93</f>
        <v>0.5</v>
      </c>
      <c r="I93" s="10" t="n">
        <f aca="false">IF(OR(weather_data!H93="light rain",weather_data!H93="moderate rain",weather_data!H93="drizzle",weather_data!H93="thunderstorm"),1,0)</f>
        <v>0</v>
      </c>
      <c r="J93" s="10" t="n">
        <f aca="false">IF(weather_data!I93&gt;=25,1,0)</f>
        <v>0</v>
      </c>
    </row>
    <row r="94" customFormat="false" ht="15" hidden="false" customHeight="false" outlineLevel="0" collapsed="false">
      <c r="A94" s="8" t="n">
        <f aca="false">weather_data!B94</f>
        <v>45850.5069444445</v>
      </c>
      <c r="B94" s="9" t="n">
        <f aca="false">INT(A94)</f>
        <v>45850</v>
      </c>
      <c r="C94" s="10" t="str">
        <f aca="false">TEXT(B94,"yyyy-mm")</f>
        <v>2025-07</v>
      </c>
      <c r="D94" s="10" t="n">
        <f aca="false">MONTH(B94)</f>
        <v>7</v>
      </c>
      <c r="E94" s="10" t="str">
        <f aca="false">TEXT(B94,"mmmm")</f>
        <v>lipiec</v>
      </c>
      <c r="F94" s="10" t="str">
        <f aca="false">"Q"&amp;ROUNDUP(D94/3,0)</f>
        <v>Q3</v>
      </c>
      <c r="G94" s="10" t="str">
        <f aca="false">IF(OR(D94=12,D94&lt;=2),"Winter",IF(D94&lt;=5,"Spring",IF(D94&lt;=8,"Summer","Autumn")))</f>
        <v>Summer</v>
      </c>
      <c r="H94" s="11" t="n">
        <f aca="false">weather_data!E94-weather_data!D94</f>
        <v>-1</v>
      </c>
      <c r="I94" s="10" t="n">
        <f aca="false">IF(OR(weather_data!H94="light rain",weather_data!H94="moderate rain",weather_data!H94="drizzle",weather_data!H94="thunderstorm"),1,0)</f>
        <v>1</v>
      </c>
      <c r="J94" s="10" t="n">
        <f aca="false">IF(weather_data!I94&gt;=25,1,0)</f>
        <v>0</v>
      </c>
    </row>
    <row r="95" customFormat="false" ht="15" hidden="false" customHeight="false" outlineLevel="0" collapsed="false">
      <c r="A95" s="8" t="n">
        <f aca="false">weather_data!B95</f>
        <v>45851.25</v>
      </c>
      <c r="B95" s="9" t="n">
        <f aca="false">INT(A95)</f>
        <v>45851</v>
      </c>
      <c r="C95" s="10" t="str">
        <f aca="false">TEXT(B95,"yyyy-mm")</f>
        <v>2025-07</v>
      </c>
      <c r="D95" s="10" t="n">
        <f aca="false">MONTH(B95)</f>
        <v>7</v>
      </c>
      <c r="E95" s="10" t="str">
        <f aca="false">TEXT(B95,"mmmm")</f>
        <v>lipiec</v>
      </c>
      <c r="F95" s="10" t="str">
        <f aca="false">"Q"&amp;ROUNDUP(D95/3,0)</f>
        <v>Q3</v>
      </c>
      <c r="G95" s="10" t="str">
        <f aca="false">IF(OR(D95=12,D95&lt;=2),"Winter",IF(D95&lt;=5,"Spring",IF(D95&lt;=8,"Summer","Autumn")))</f>
        <v>Summer</v>
      </c>
      <c r="H95" s="11" t="n">
        <f aca="false">weather_data!E95-weather_data!D95</f>
        <v>-1.1</v>
      </c>
      <c r="I95" s="10" t="n">
        <f aca="false">IF(OR(weather_data!H95="light rain",weather_data!H95="moderate rain",weather_data!H95="drizzle",weather_data!H95="thunderstorm"),1,0)</f>
        <v>0</v>
      </c>
      <c r="J95" s="10" t="n">
        <f aca="false">IF(weather_data!I95&gt;=25,1,0)</f>
        <v>1</v>
      </c>
    </row>
    <row r="96" customFormat="false" ht="15" hidden="false" customHeight="false" outlineLevel="0" collapsed="false">
      <c r="A96" s="8" t="n">
        <f aca="false">weather_data!B96</f>
        <v>45852.5625</v>
      </c>
      <c r="B96" s="9" t="n">
        <f aca="false">INT(A96)</f>
        <v>45852</v>
      </c>
      <c r="C96" s="10" t="str">
        <f aca="false">TEXT(B96,"yyyy-mm")</f>
        <v>2025-07</v>
      </c>
      <c r="D96" s="10" t="n">
        <f aca="false">MONTH(B96)</f>
        <v>7</v>
      </c>
      <c r="E96" s="10" t="str">
        <f aca="false">TEXT(B96,"mmmm")</f>
        <v>lipiec</v>
      </c>
      <c r="F96" s="10" t="str">
        <f aca="false">"Q"&amp;ROUNDUP(D96/3,0)</f>
        <v>Q3</v>
      </c>
      <c r="G96" s="10" t="str">
        <f aca="false">IF(OR(D96=12,D96&lt;=2),"Winter",IF(D96&lt;=5,"Spring",IF(D96&lt;=8,"Summer","Autumn")))</f>
        <v>Summer</v>
      </c>
      <c r="H96" s="11" t="n">
        <f aca="false">weather_data!E96-weather_data!D96</f>
        <v>-0.299999999999997</v>
      </c>
      <c r="I96" s="10" t="n">
        <f aca="false">IF(OR(weather_data!H96="light rain",weather_data!H96="moderate rain",weather_data!H96="drizzle",weather_data!H96="thunderstorm"),1,0)</f>
        <v>1</v>
      </c>
      <c r="J96" s="10" t="n">
        <f aca="false">IF(weather_data!I96&gt;=25,1,0)</f>
        <v>0</v>
      </c>
    </row>
    <row r="97" customFormat="false" ht="15" hidden="false" customHeight="false" outlineLevel="0" collapsed="false">
      <c r="A97" s="8" t="n">
        <f aca="false">weather_data!B97</f>
        <v>45853.3541666667</v>
      </c>
      <c r="B97" s="9" t="n">
        <f aca="false">INT(A97)</f>
        <v>45853</v>
      </c>
      <c r="C97" s="10" t="str">
        <f aca="false">TEXT(B97,"yyyy-mm")</f>
        <v>2025-07</v>
      </c>
      <c r="D97" s="10" t="n">
        <f aca="false">MONTH(B97)</f>
        <v>7</v>
      </c>
      <c r="E97" s="10" t="str">
        <f aca="false">TEXT(B97,"mmmm")</f>
        <v>lipiec</v>
      </c>
      <c r="F97" s="10" t="str">
        <f aca="false">"Q"&amp;ROUNDUP(D97/3,0)</f>
        <v>Q3</v>
      </c>
      <c r="G97" s="10" t="str">
        <f aca="false">IF(OR(D97=12,D97&lt;=2),"Winter",IF(D97&lt;=5,"Spring",IF(D97&lt;=8,"Summer","Autumn")))</f>
        <v>Summer</v>
      </c>
      <c r="H97" s="11" t="n">
        <f aca="false">weather_data!E97-weather_data!D97</f>
        <v>0.699999999999999</v>
      </c>
      <c r="I97" s="10" t="n">
        <f aca="false">IF(OR(weather_data!H97="light rain",weather_data!H97="moderate rain",weather_data!H97="drizzle",weather_data!H97="thunderstorm"),1,0)</f>
        <v>0</v>
      </c>
      <c r="J97" s="10" t="n">
        <f aca="false">IF(weather_data!I97&gt;=25,1,0)</f>
        <v>0</v>
      </c>
    </row>
    <row r="98" customFormat="false" ht="15" hidden="false" customHeight="false" outlineLevel="0" collapsed="false">
      <c r="A98" s="8" t="n">
        <f aca="false">weather_data!B98</f>
        <v>45854.8263888889</v>
      </c>
      <c r="B98" s="9" t="n">
        <f aca="false">INT(A98)</f>
        <v>45854</v>
      </c>
      <c r="C98" s="10" t="str">
        <f aca="false">TEXT(B98,"yyyy-mm")</f>
        <v>2025-07</v>
      </c>
      <c r="D98" s="10" t="n">
        <f aca="false">MONTH(B98)</f>
        <v>7</v>
      </c>
      <c r="E98" s="10" t="str">
        <f aca="false">TEXT(B98,"mmmm")</f>
        <v>lipiec</v>
      </c>
      <c r="F98" s="10" t="str">
        <f aca="false">"Q"&amp;ROUNDUP(D98/3,0)</f>
        <v>Q3</v>
      </c>
      <c r="G98" s="10" t="str">
        <f aca="false">IF(OR(D98=12,D98&lt;=2),"Winter",IF(D98&lt;=5,"Spring",IF(D98&lt;=8,"Summer","Autumn")))</f>
        <v>Summer</v>
      </c>
      <c r="H98" s="11" t="n">
        <f aca="false">weather_data!E98-weather_data!D98</f>
        <v>1.2</v>
      </c>
      <c r="I98" s="10" t="n">
        <f aca="false">IF(OR(weather_data!H98="light rain",weather_data!H98="moderate rain",weather_data!H98="drizzle",weather_data!H98="thunderstorm"),1,0)</f>
        <v>0</v>
      </c>
      <c r="J98" s="10" t="n">
        <f aca="false">IF(weather_data!I98&gt;=25,1,0)</f>
        <v>0</v>
      </c>
    </row>
    <row r="99" customFormat="false" ht="15" hidden="false" customHeight="false" outlineLevel="0" collapsed="false">
      <c r="A99" s="8" t="n">
        <f aca="false">weather_data!B99</f>
        <v>45855.5347222222</v>
      </c>
      <c r="B99" s="9" t="n">
        <f aca="false">INT(A99)</f>
        <v>45855</v>
      </c>
      <c r="C99" s="10" t="str">
        <f aca="false">TEXT(B99,"yyyy-mm")</f>
        <v>2025-07</v>
      </c>
      <c r="D99" s="10" t="n">
        <f aca="false">MONTH(B99)</f>
        <v>7</v>
      </c>
      <c r="E99" s="10" t="str">
        <f aca="false">TEXT(B99,"mmmm")</f>
        <v>lipiec</v>
      </c>
      <c r="F99" s="10" t="str">
        <f aca="false">"Q"&amp;ROUNDUP(D99/3,0)</f>
        <v>Q3</v>
      </c>
      <c r="G99" s="10" t="str">
        <f aca="false">IF(OR(D99=12,D99&lt;=2),"Winter",IF(D99&lt;=5,"Spring",IF(D99&lt;=8,"Summer","Autumn")))</f>
        <v>Summer</v>
      </c>
      <c r="H99" s="11" t="n">
        <f aca="false">weather_data!E99-weather_data!D99</f>
        <v>0.599999999999998</v>
      </c>
      <c r="I99" s="10" t="n">
        <f aca="false">IF(OR(weather_data!H99="light rain",weather_data!H99="moderate rain",weather_data!H99="drizzle",weather_data!H99="thunderstorm"),1,0)</f>
        <v>0</v>
      </c>
      <c r="J99" s="10" t="n">
        <f aca="false">IF(weather_data!I99&gt;=25,1,0)</f>
        <v>0</v>
      </c>
    </row>
    <row r="100" customFormat="false" ht="15" hidden="false" customHeight="false" outlineLevel="0" collapsed="false">
      <c r="A100" s="8" t="n">
        <f aca="false">weather_data!B100</f>
        <v>45856.7708333333</v>
      </c>
      <c r="B100" s="9" t="n">
        <f aca="false">INT(A100)</f>
        <v>45856</v>
      </c>
      <c r="C100" s="10" t="str">
        <f aca="false">TEXT(B100,"yyyy-mm")</f>
        <v>2025-07</v>
      </c>
      <c r="D100" s="10" t="n">
        <f aca="false">MONTH(B100)</f>
        <v>7</v>
      </c>
      <c r="E100" s="10" t="str">
        <f aca="false">TEXT(B100,"mmmm")</f>
        <v>lipiec</v>
      </c>
      <c r="F100" s="10" t="str">
        <f aca="false">"Q"&amp;ROUNDUP(D100/3,0)</f>
        <v>Q3</v>
      </c>
      <c r="G100" s="10" t="str">
        <f aca="false">IF(OR(D100=12,D100&lt;=2),"Winter",IF(D100&lt;=5,"Spring",IF(D100&lt;=8,"Summer","Autumn")))</f>
        <v>Summer</v>
      </c>
      <c r="H100" s="11" t="n">
        <f aca="false">weather_data!E100-weather_data!D100</f>
        <v>-0.900000000000002</v>
      </c>
      <c r="I100" s="10" t="n">
        <f aca="false">IF(OR(weather_data!H100="light rain",weather_data!H100="moderate rain",weather_data!H100="drizzle",weather_data!H100="thunderstorm"),1,0)</f>
        <v>0</v>
      </c>
      <c r="J100" s="10" t="n">
        <f aca="false">IF(weather_data!I100&gt;=25,1,0)</f>
        <v>0</v>
      </c>
    </row>
    <row r="101" customFormat="false" ht="15" hidden="false" customHeight="false" outlineLevel="0" collapsed="false">
      <c r="A101" s="8" t="n">
        <f aca="false">weather_data!B101</f>
        <v>45857.7569444445</v>
      </c>
      <c r="B101" s="9" t="n">
        <f aca="false">INT(A101)</f>
        <v>45857</v>
      </c>
      <c r="C101" s="10" t="str">
        <f aca="false">TEXT(B101,"yyyy-mm")</f>
        <v>2025-07</v>
      </c>
      <c r="D101" s="10" t="n">
        <f aca="false">MONTH(B101)</f>
        <v>7</v>
      </c>
      <c r="E101" s="10" t="str">
        <f aca="false">TEXT(B101,"mmmm")</f>
        <v>lipiec</v>
      </c>
      <c r="F101" s="10" t="str">
        <f aca="false">"Q"&amp;ROUNDUP(D101/3,0)</f>
        <v>Q3</v>
      </c>
      <c r="G101" s="10" t="str">
        <f aca="false">IF(OR(D101=12,D101&lt;=2),"Winter",IF(D101&lt;=5,"Spring",IF(D101&lt;=8,"Summer","Autumn")))</f>
        <v>Summer</v>
      </c>
      <c r="H101" s="11" t="n">
        <f aca="false">weather_data!E101-weather_data!D101</f>
        <v>1.2</v>
      </c>
      <c r="I101" s="10" t="n">
        <f aca="false">IF(OR(weather_data!H101="light rain",weather_data!H101="moderate rain",weather_data!H101="drizzle",weather_data!H101="thunderstorm"),1,0)</f>
        <v>0</v>
      </c>
      <c r="J101" s="10" t="n">
        <f aca="false">IF(weather_data!I101&gt;=25,1,0)</f>
        <v>0</v>
      </c>
    </row>
    <row r="102" customFormat="false" ht="15" hidden="false" customHeight="false" outlineLevel="0" collapsed="false">
      <c r="A102" s="8" t="n">
        <f aca="false">weather_data!B102</f>
        <v>45858.4513888889</v>
      </c>
      <c r="B102" s="9" t="n">
        <f aca="false">INT(A102)</f>
        <v>45858</v>
      </c>
      <c r="C102" s="10" t="str">
        <f aca="false">TEXT(B102,"yyyy-mm")</f>
        <v>2025-07</v>
      </c>
      <c r="D102" s="10" t="n">
        <f aca="false">MONTH(B102)</f>
        <v>7</v>
      </c>
      <c r="E102" s="10" t="str">
        <f aca="false">TEXT(B102,"mmmm")</f>
        <v>lipiec</v>
      </c>
      <c r="F102" s="10" t="str">
        <f aca="false">"Q"&amp;ROUNDUP(D102/3,0)</f>
        <v>Q3</v>
      </c>
      <c r="G102" s="10" t="str">
        <f aca="false">IF(OR(D102=12,D102&lt;=2),"Winter",IF(D102&lt;=5,"Spring",IF(D102&lt;=8,"Summer","Autumn")))</f>
        <v>Summer</v>
      </c>
      <c r="H102" s="11" t="n">
        <f aca="false">weather_data!E102-weather_data!D102</f>
        <v>-0.600000000000001</v>
      </c>
      <c r="I102" s="10" t="n">
        <f aca="false">IF(OR(weather_data!H102="light rain",weather_data!H102="moderate rain",weather_data!H102="drizzle",weather_data!H102="thunderstorm"),1,0)</f>
        <v>0</v>
      </c>
      <c r="J102" s="10" t="n">
        <f aca="false">IF(weather_data!I102&gt;=25,1,0)</f>
        <v>0</v>
      </c>
    </row>
    <row r="103" customFormat="false" ht="15" hidden="false" customHeight="false" outlineLevel="0" collapsed="false">
      <c r="A103" s="8" t="n">
        <f aca="false">weather_data!B103</f>
        <v>45860.25</v>
      </c>
      <c r="B103" s="9" t="n">
        <f aca="false">INT(A103)</f>
        <v>45860</v>
      </c>
      <c r="C103" s="10" t="str">
        <f aca="false">TEXT(B103,"yyyy-mm")</f>
        <v>2025-07</v>
      </c>
      <c r="D103" s="10" t="n">
        <f aca="false">MONTH(B103)</f>
        <v>7</v>
      </c>
      <c r="E103" s="10" t="str">
        <f aca="false">TEXT(B103,"mmmm")</f>
        <v>lipiec</v>
      </c>
      <c r="F103" s="10" t="str">
        <f aca="false">"Q"&amp;ROUNDUP(D103/3,0)</f>
        <v>Q3</v>
      </c>
      <c r="G103" s="10" t="str">
        <f aca="false">IF(OR(D103=12,D103&lt;=2),"Winter",IF(D103&lt;=5,"Spring",IF(D103&lt;=8,"Summer","Autumn")))</f>
        <v>Summer</v>
      </c>
      <c r="H103" s="11" t="n">
        <f aca="false">weather_data!E103-weather_data!D103</f>
        <v>1</v>
      </c>
      <c r="I103" s="10" t="n">
        <f aca="false">IF(OR(weather_data!H103="light rain",weather_data!H103="moderate rain",weather_data!H103="drizzle",weather_data!H103="thunderstorm"),1,0)</f>
        <v>0</v>
      </c>
      <c r="J103" s="10" t="n">
        <f aca="false">IF(weather_data!I103&gt;=25,1,0)</f>
        <v>0</v>
      </c>
    </row>
    <row r="104" customFormat="false" ht="15" hidden="false" customHeight="false" outlineLevel="0" collapsed="false">
      <c r="A104" s="8" t="n">
        <f aca="false">weather_data!B104</f>
        <v>45861.7986111111</v>
      </c>
      <c r="B104" s="9" t="n">
        <f aca="false">INT(A104)</f>
        <v>45861</v>
      </c>
      <c r="C104" s="10" t="str">
        <f aca="false">TEXT(B104,"yyyy-mm")</f>
        <v>2025-07</v>
      </c>
      <c r="D104" s="10" t="n">
        <f aca="false">MONTH(B104)</f>
        <v>7</v>
      </c>
      <c r="E104" s="10" t="str">
        <f aca="false">TEXT(B104,"mmmm")</f>
        <v>lipiec</v>
      </c>
      <c r="F104" s="10" t="str">
        <f aca="false">"Q"&amp;ROUNDUP(D104/3,0)</f>
        <v>Q3</v>
      </c>
      <c r="G104" s="10" t="str">
        <f aca="false">IF(OR(D104=12,D104&lt;=2),"Winter",IF(D104&lt;=5,"Spring",IF(D104&lt;=8,"Summer","Autumn")))</f>
        <v>Summer</v>
      </c>
      <c r="H104" s="11" t="n">
        <f aca="false">weather_data!E104-weather_data!D104</f>
        <v>0</v>
      </c>
      <c r="I104" s="10" t="n">
        <f aca="false">IF(OR(weather_data!H104="light rain",weather_data!H104="moderate rain",weather_data!H104="drizzle",weather_data!H104="thunderstorm"),1,0)</f>
        <v>0</v>
      </c>
      <c r="J104" s="10" t="n">
        <f aca="false">IF(weather_data!I104&gt;=25,1,0)</f>
        <v>0</v>
      </c>
    </row>
    <row r="105" customFormat="false" ht="15" hidden="false" customHeight="false" outlineLevel="0" collapsed="false">
      <c r="A105" s="8" t="n">
        <f aca="false">weather_data!B105</f>
        <v>45862.4930555556</v>
      </c>
      <c r="B105" s="9" t="n">
        <f aca="false">INT(A105)</f>
        <v>45862</v>
      </c>
      <c r="C105" s="10" t="str">
        <f aca="false">TEXT(B105,"yyyy-mm")</f>
        <v>2025-07</v>
      </c>
      <c r="D105" s="10" t="n">
        <f aca="false">MONTH(B105)</f>
        <v>7</v>
      </c>
      <c r="E105" s="10" t="str">
        <f aca="false">TEXT(B105,"mmmm")</f>
        <v>lipiec</v>
      </c>
      <c r="F105" s="10" t="str">
        <f aca="false">"Q"&amp;ROUNDUP(D105/3,0)</f>
        <v>Q3</v>
      </c>
      <c r="G105" s="10" t="str">
        <f aca="false">IF(OR(D105=12,D105&lt;=2),"Winter",IF(D105&lt;=5,"Spring",IF(D105&lt;=8,"Summer","Autumn")))</f>
        <v>Summer</v>
      </c>
      <c r="H105" s="11" t="n">
        <f aca="false">weather_data!E105-weather_data!D105</f>
        <v>0.0999999999999979</v>
      </c>
      <c r="I105" s="10" t="n">
        <f aca="false">IF(OR(weather_data!H105="light rain",weather_data!H105="moderate rain",weather_data!H105="drizzle",weather_data!H105="thunderstorm"),1,0)</f>
        <v>0</v>
      </c>
      <c r="J105" s="10" t="n">
        <f aca="false">IF(weather_data!I105&gt;=25,1,0)</f>
        <v>0</v>
      </c>
    </row>
    <row r="106" customFormat="false" ht="15" hidden="false" customHeight="false" outlineLevel="0" collapsed="false">
      <c r="A106" s="8" t="n">
        <f aca="false">weather_data!B106</f>
        <v>45863.8333333333</v>
      </c>
      <c r="B106" s="9" t="n">
        <f aca="false">INT(A106)</f>
        <v>45863</v>
      </c>
      <c r="C106" s="10" t="str">
        <f aca="false">TEXT(B106,"yyyy-mm")</f>
        <v>2025-07</v>
      </c>
      <c r="D106" s="10" t="n">
        <f aca="false">MONTH(B106)</f>
        <v>7</v>
      </c>
      <c r="E106" s="10" t="str">
        <f aca="false">TEXT(B106,"mmmm")</f>
        <v>lipiec</v>
      </c>
      <c r="F106" s="10" t="str">
        <f aca="false">"Q"&amp;ROUNDUP(D106/3,0)</f>
        <v>Q3</v>
      </c>
      <c r="G106" s="10" t="str">
        <f aca="false">IF(OR(D106=12,D106&lt;=2),"Winter",IF(D106&lt;=5,"Spring",IF(D106&lt;=8,"Summer","Autumn")))</f>
        <v>Summer</v>
      </c>
      <c r="H106" s="11" t="n">
        <f aca="false">weather_data!E106-weather_data!D106</f>
        <v>-0.699999999999999</v>
      </c>
      <c r="I106" s="10" t="n">
        <f aca="false">IF(OR(weather_data!H106="light rain",weather_data!H106="moderate rain",weather_data!H106="drizzle",weather_data!H106="thunderstorm"),1,0)</f>
        <v>0</v>
      </c>
      <c r="J106" s="10" t="n">
        <f aca="false">IF(weather_data!I106&gt;=25,1,0)</f>
        <v>0</v>
      </c>
    </row>
    <row r="107" customFormat="false" ht="15" hidden="false" customHeight="false" outlineLevel="0" collapsed="false">
      <c r="A107" s="8" t="n">
        <f aca="false">weather_data!B107</f>
        <v>45864.5416666667</v>
      </c>
      <c r="B107" s="9" t="n">
        <f aca="false">INT(A107)</f>
        <v>45864</v>
      </c>
      <c r="C107" s="10" t="str">
        <f aca="false">TEXT(B107,"yyyy-mm")</f>
        <v>2025-07</v>
      </c>
      <c r="D107" s="10" t="n">
        <f aca="false">MONTH(B107)</f>
        <v>7</v>
      </c>
      <c r="E107" s="10" t="str">
        <f aca="false">TEXT(B107,"mmmm")</f>
        <v>lipiec</v>
      </c>
      <c r="F107" s="10" t="str">
        <f aca="false">"Q"&amp;ROUNDUP(D107/3,0)</f>
        <v>Q3</v>
      </c>
      <c r="G107" s="10" t="str">
        <f aca="false">IF(OR(D107=12,D107&lt;=2),"Winter",IF(D107&lt;=5,"Spring",IF(D107&lt;=8,"Summer","Autumn")))</f>
        <v>Summer</v>
      </c>
      <c r="H107" s="11" t="n">
        <f aca="false">weather_data!E107-weather_data!D107</f>
        <v>0.400000000000002</v>
      </c>
      <c r="I107" s="10" t="n">
        <f aca="false">IF(OR(weather_data!H107="light rain",weather_data!H107="moderate rain",weather_data!H107="drizzle",weather_data!H107="thunderstorm"),1,0)</f>
        <v>1</v>
      </c>
      <c r="J107" s="10" t="n">
        <f aca="false">IF(weather_data!I107&gt;=25,1,0)</f>
        <v>1</v>
      </c>
    </row>
    <row r="108" customFormat="false" ht="15" hidden="false" customHeight="false" outlineLevel="0" collapsed="false">
      <c r="A108" s="8" t="n">
        <f aca="false">weather_data!B108</f>
        <v>45865.8402777778</v>
      </c>
      <c r="B108" s="9" t="n">
        <f aca="false">INT(A108)</f>
        <v>45865</v>
      </c>
      <c r="C108" s="10" t="str">
        <f aca="false">TEXT(B108,"yyyy-mm")</f>
        <v>2025-07</v>
      </c>
      <c r="D108" s="10" t="n">
        <f aca="false">MONTH(B108)</f>
        <v>7</v>
      </c>
      <c r="E108" s="10" t="str">
        <f aca="false">TEXT(B108,"mmmm")</f>
        <v>lipiec</v>
      </c>
      <c r="F108" s="10" t="str">
        <f aca="false">"Q"&amp;ROUNDUP(D108/3,0)</f>
        <v>Q3</v>
      </c>
      <c r="G108" s="10" t="str">
        <f aca="false">IF(OR(D108=12,D108&lt;=2),"Winter",IF(D108&lt;=5,"Spring",IF(D108&lt;=8,"Summer","Autumn")))</f>
        <v>Summer</v>
      </c>
      <c r="H108" s="11" t="n">
        <f aca="false">weather_data!E108-weather_data!D108</f>
        <v>0.199999999999999</v>
      </c>
      <c r="I108" s="10" t="n">
        <f aca="false">IF(OR(weather_data!H108="light rain",weather_data!H108="moderate rain",weather_data!H108="drizzle",weather_data!H108="thunderstorm"),1,0)</f>
        <v>0</v>
      </c>
      <c r="J108" s="10" t="n">
        <f aca="false">IF(weather_data!I108&gt;=25,1,0)</f>
        <v>0</v>
      </c>
    </row>
    <row r="109" customFormat="false" ht="15" hidden="false" customHeight="false" outlineLevel="0" collapsed="false">
      <c r="A109" s="8" t="n">
        <f aca="false">weather_data!B109</f>
        <v>45866.8680555556</v>
      </c>
      <c r="B109" s="9" t="n">
        <f aca="false">INT(A109)</f>
        <v>45866</v>
      </c>
      <c r="C109" s="10" t="str">
        <f aca="false">TEXT(B109,"yyyy-mm")</f>
        <v>2025-07</v>
      </c>
      <c r="D109" s="10" t="n">
        <f aca="false">MONTH(B109)</f>
        <v>7</v>
      </c>
      <c r="E109" s="10" t="str">
        <f aca="false">TEXT(B109,"mmmm")</f>
        <v>lipiec</v>
      </c>
      <c r="F109" s="10" t="str">
        <f aca="false">"Q"&amp;ROUNDUP(D109/3,0)</f>
        <v>Q3</v>
      </c>
      <c r="G109" s="10" t="str">
        <f aca="false">IF(OR(D109=12,D109&lt;=2),"Winter",IF(D109&lt;=5,"Spring",IF(D109&lt;=8,"Summer","Autumn")))</f>
        <v>Summer</v>
      </c>
      <c r="H109" s="11" t="n">
        <f aca="false">weather_data!E109-weather_data!D109</f>
        <v>0.5</v>
      </c>
      <c r="I109" s="10" t="n">
        <f aca="false">IF(OR(weather_data!H109="light rain",weather_data!H109="moderate rain",weather_data!H109="drizzle",weather_data!H109="thunderstorm"),1,0)</f>
        <v>0</v>
      </c>
      <c r="J109" s="10" t="n">
        <f aca="false">IF(weather_data!I109&gt;=25,1,0)</f>
        <v>0</v>
      </c>
    </row>
    <row r="110" customFormat="false" ht="15" hidden="false" customHeight="false" outlineLevel="0" collapsed="false">
      <c r="A110" s="8" t="n">
        <f aca="false">weather_data!B110</f>
        <v>45868.6875</v>
      </c>
      <c r="B110" s="9" t="n">
        <f aca="false">INT(A110)</f>
        <v>45868</v>
      </c>
      <c r="C110" s="10" t="str">
        <f aca="false">TEXT(B110,"yyyy-mm")</f>
        <v>2025-07</v>
      </c>
      <c r="D110" s="10" t="n">
        <f aca="false">MONTH(B110)</f>
        <v>7</v>
      </c>
      <c r="E110" s="10" t="str">
        <f aca="false">TEXT(B110,"mmmm")</f>
        <v>lipiec</v>
      </c>
      <c r="F110" s="10" t="str">
        <f aca="false">"Q"&amp;ROUNDUP(D110/3,0)</f>
        <v>Q3</v>
      </c>
      <c r="G110" s="10" t="str">
        <f aca="false">IF(OR(D110=12,D110&lt;=2),"Winter",IF(D110&lt;=5,"Spring",IF(D110&lt;=8,"Summer","Autumn")))</f>
        <v>Summer</v>
      </c>
      <c r="H110" s="11" t="n">
        <f aca="false">weather_data!E110-weather_data!D110</f>
        <v>0.399999999999999</v>
      </c>
      <c r="I110" s="10" t="n">
        <f aca="false">IF(OR(weather_data!H110="light rain",weather_data!H110="moderate rain",weather_data!H110="drizzle",weather_data!H110="thunderstorm"),1,0)</f>
        <v>0</v>
      </c>
      <c r="J110" s="10" t="n">
        <f aca="false">IF(weather_data!I110&gt;=25,1,0)</f>
        <v>0</v>
      </c>
    </row>
    <row r="111" customFormat="false" ht="15" hidden="false" customHeight="false" outlineLevel="0" collapsed="false">
      <c r="A111" s="8" t="n">
        <f aca="false">weather_data!B111</f>
        <v>45869.8194444445</v>
      </c>
      <c r="B111" s="9" t="n">
        <f aca="false">INT(A111)</f>
        <v>45869</v>
      </c>
      <c r="C111" s="10" t="str">
        <f aca="false">TEXT(B111,"yyyy-mm")</f>
        <v>2025-07</v>
      </c>
      <c r="D111" s="10" t="n">
        <f aca="false">MONTH(B111)</f>
        <v>7</v>
      </c>
      <c r="E111" s="10" t="str">
        <f aca="false">TEXT(B111,"mmmm")</f>
        <v>lipiec</v>
      </c>
      <c r="F111" s="10" t="str">
        <f aca="false">"Q"&amp;ROUNDUP(D111/3,0)</f>
        <v>Q3</v>
      </c>
      <c r="G111" s="10" t="str">
        <f aca="false">IF(OR(D111=12,D111&lt;=2),"Winter",IF(D111&lt;=5,"Spring",IF(D111&lt;=8,"Summer","Autumn")))</f>
        <v>Summer</v>
      </c>
      <c r="H111" s="11" t="n">
        <f aca="false">weather_data!E111-weather_data!D111</f>
        <v>0.599999999999998</v>
      </c>
      <c r="I111" s="10" t="n">
        <f aca="false">IF(OR(weather_data!H111="light rain",weather_data!H111="moderate rain",weather_data!H111="drizzle",weather_data!H111="thunderstorm"),1,0)</f>
        <v>0</v>
      </c>
      <c r="J111" s="10" t="n">
        <f aca="false">IF(weather_data!I111&gt;=25,1,0)</f>
        <v>0</v>
      </c>
    </row>
    <row r="112" customFormat="false" ht="15" hidden="false" customHeight="false" outlineLevel="0" collapsed="false">
      <c r="A112" s="8" t="n">
        <f aca="false">weather_data!B112</f>
        <v>45870.8402777778</v>
      </c>
      <c r="B112" s="9" t="n">
        <f aca="false">INT(A112)</f>
        <v>45870</v>
      </c>
      <c r="C112" s="10" t="str">
        <f aca="false">TEXT(B112,"yyyy-mm")</f>
        <v>2025-08</v>
      </c>
      <c r="D112" s="10" t="n">
        <f aca="false">MONTH(B112)</f>
        <v>8</v>
      </c>
      <c r="E112" s="10" t="str">
        <f aca="false">TEXT(B112,"mmmm")</f>
        <v>sierpień</v>
      </c>
      <c r="F112" s="10" t="str">
        <f aca="false">"Q"&amp;ROUNDUP(D112/3,0)</f>
        <v>Q3</v>
      </c>
      <c r="G112" s="10" t="str">
        <f aca="false">IF(OR(D112=12,D112&lt;=2),"Winter",IF(D112&lt;=5,"Spring",IF(D112&lt;=8,"Summer","Autumn")))</f>
        <v>Summer</v>
      </c>
      <c r="H112" s="11" t="n">
        <f aca="false">weather_data!E112-weather_data!D112</f>
        <v>0.600000000000001</v>
      </c>
      <c r="I112" s="10" t="n">
        <f aca="false">IF(OR(weather_data!H112="light rain",weather_data!H112="moderate rain",weather_data!H112="drizzle",weather_data!H112="thunderstorm"),1,0)</f>
        <v>0</v>
      </c>
      <c r="J112" s="10" t="n">
        <f aca="false">IF(weather_data!I112&gt;=25,1,0)</f>
        <v>0</v>
      </c>
    </row>
    <row r="113" customFormat="false" ht="15" hidden="false" customHeight="false" outlineLevel="0" collapsed="false">
      <c r="A113" s="8" t="n">
        <f aca="false">weather_data!B113</f>
        <v>45871.8958333333</v>
      </c>
      <c r="B113" s="9" t="n">
        <f aca="false">INT(A113)</f>
        <v>45871</v>
      </c>
      <c r="C113" s="10" t="str">
        <f aca="false">TEXT(B113,"yyyy-mm")</f>
        <v>2025-08</v>
      </c>
      <c r="D113" s="10" t="n">
        <f aca="false">MONTH(B113)</f>
        <v>8</v>
      </c>
      <c r="E113" s="10" t="str">
        <f aca="false">TEXT(B113,"mmmm")</f>
        <v>sierpień</v>
      </c>
      <c r="F113" s="10" t="str">
        <f aca="false">"Q"&amp;ROUNDUP(D113/3,0)</f>
        <v>Q3</v>
      </c>
      <c r="G113" s="10" t="str">
        <f aca="false">IF(OR(D113=12,D113&lt;=2),"Winter",IF(D113&lt;=5,"Spring",IF(D113&lt;=8,"Summer","Autumn")))</f>
        <v>Summer</v>
      </c>
      <c r="H113" s="11" t="n">
        <f aca="false">weather_data!E113-weather_data!D113</f>
        <v>0.5</v>
      </c>
      <c r="I113" s="10" t="n">
        <f aca="false">IF(OR(weather_data!H113="light rain",weather_data!H113="moderate rain",weather_data!H113="drizzle",weather_data!H113="thunderstorm"),1,0)</f>
        <v>0</v>
      </c>
      <c r="J113" s="10" t="n">
        <f aca="false">IF(weather_data!I113&gt;=25,1,0)</f>
        <v>0</v>
      </c>
    </row>
    <row r="114" customFormat="false" ht="15" hidden="false" customHeight="false" outlineLevel="0" collapsed="false">
      <c r="A114" s="8" t="n">
        <f aca="false">weather_data!B114</f>
        <v>45872.5902777778</v>
      </c>
      <c r="B114" s="9" t="n">
        <f aca="false">INT(A114)</f>
        <v>45872</v>
      </c>
      <c r="C114" s="10" t="str">
        <f aca="false">TEXT(B114,"yyyy-mm")</f>
        <v>2025-08</v>
      </c>
      <c r="D114" s="10" t="n">
        <f aca="false">MONTH(B114)</f>
        <v>8</v>
      </c>
      <c r="E114" s="10" t="str">
        <f aca="false">TEXT(B114,"mmmm")</f>
        <v>sierpień</v>
      </c>
      <c r="F114" s="10" t="str">
        <f aca="false">"Q"&amp;ROUNDUP(D114/3,0)</f>
        <v>Q3</v>
      </c>
      <c r="G114" s="10" t="str">
        <f aca="false">IF(OR(D114=12,D114&lt;=2),"Winter",IF(D114&lt;=5,"Spring",IF(D114&lt;=8,"Summer","Autumn")))</f>
        <v>Summer</v>
      </c>
      <c r="H114" s="11" t="n">
        <f aca="false">weather_data!E114-weather_data!D114</f>
        <v>-0.899999999999999</v>
      </c>
      <c r="I114" s="10" t="n">
        <f aca="false">IF(OR(weather_data!H114="light rain",weather_data!H114="moderate rain",weather_data!H114="drizzle",weather_data!H114="thunderstorm"),1,0)</f>
        <v>0</v>
      </c>
      <c r="J114" s="10" t="n">
        <f aca="false">IF(weather_data!I114&gt;=25,1,0)</f>
        <v>0</v>
      </c>
    </row>
    <row r="115" customFormat="false" ht="15" hidden="false" customHeight="false" outlineLevel="0" collapsed="false">
      <c r="A115" s="8" t="n">
        <f aca="false">weather_data!B115</f>
        <v>45873.6111111111</v>
      </c>
      <c r="B115" s="9" t="n">
        <f aca="false">INT(A115)</f>
        <v>45873</v>
      </c>
      <c r="C115" s="10" t="str">
        <f aca="false">TEXT(B115,"yyyy-mm")</f>
        <v>2025-08</v>
      </c>
      <c r="D115" s="10" t="n">
        <f aca="false">MONTH(B115)</f>
        <v>8</v>
      </c>
      <c r="E115" s="10" t="str">
        <f aca="false">TEXT(B115,"mmmm")</f>
        <v>sierpień</v>
      </c>
      <c r="F115" s="10" t="str">
        <f aca="false">"Q"&amp;ROUNDUP(D115/3,0)</f>
        <v>Q3</v>
      </c>
      <c r="G115" s="10" t="str">
        <f aca="false">IF(OR(D115=12,D115&lt;=2),"Winter",IF(D115&lt;=5,"Spring",IF(D115&lt;=8,"Summer","Autumn")))</f>
        <v>Summer</v>
      </c>
      <c r="H115" s="11" t="n">
        <f aca="false">weather_data!E115-weather_data!D115</f>
        <v>-0.899999999999999</v>
      </c>
      <c r="I115" s="10" t="n">
        <f aca="false">IF(OR(weather_data!H115="light rain",weather_data!H115="moderate rain",weather_data!H115="drizzle",weather_data!H115="thunderstorm"),1,0)</f>
        <v>1</v>
      </c>
      <c r="J115" s="10" t="n">
        <f aca="false">IF(weather_data!I115&gt;=25,1,0)</f>
        <v>0</v>
      </c>
    </row>
    <row r="116" customFormat="false" ht="15" hidden="false" customHeight="false" outlineLevel="0" collapsed="false">
      <c r="A116" s="8" t="n">
        <f aca="false">weather_data!B116</f>
        <v>45874.9097222222</v>
      </c>
      <c r="B116" s="9" t="n">
        <f aca="false">INT(A116)</f>
        <v>45874</v>
      </c>
      <c r="C116" s="10" t="str">
        <f aca="false">TEXT(B116,"yyyy-mm")</f>
        <v>2025-08</v>
      </c>
      <c r="D116" s="10" t="n">
        <f aca="false">MONTH(B116)</f>
        <v>8</v>
      </c>
      <c r="E116" s="10" t="str">
        <f aca="false">TEXT(B116,"mmmm")</f>
        <v>sierpień</v>
      </c>
      <c r="F116" s="10" t="str">
        <f aca="false">"Q"&amp;ROUNDUP(D116/3,0)</f>
        <v>Q3</v>
      </c>
      <c r="G116" s="10" t="str">
        <f aca="false">IF(OR(D116=12,D116&lt;=2),"Winter",IF(D116&lt;=5,"Spring",IF(D116&lt;=8,"Summer","Autumn")))</f>
        <v>Summer</v>
      </c>
      <c r="H116" s="11" t="n">
        <f aca="false">weather_data!E116-weather_data!D116</f>
        <v>-0.800000000000001</v>
      </c>
      <c r="I116" s="10" t="n">
        <f aca="false">IF(OR(weather_data!H116="light rain",weather_data!H116="moderate rain",weather_data!H116="drizzle",weather_data!H116="thunderstorm"),1,0)</f>
        <v>0</v>
      </c>
      <c r="J116" s="10" t="n">
        <f aca="false">IF(weather_data!I116&gt;=25,1,0)</f>
        <v>0</v>
      </c>
    </row>
    <row r="117" customFormat="false" ht="15" hidden="false" customHeight="false" outlineLevel="0" collapsed="false">
      <c r="A117" s="8" t="n">
        <f aca="false">weather_data!B117</f>
        <v>45875.5555555556</v>
      </c>
      <c r="B117" s="9" t="n">
        <f aca="false">INT(A117)</f>
        <v>45875</v>
      </c>
      <c r="C117" s="10" t="str">
        <f aca="false">TEXT(B117,"yyyy-mm")</f>
        <v>2025-08</v>
      </c>
      <c r="D117" s="10" t="n">
        <f aca="false">MONTH(B117)</f>
        <v>8</v>
      </c>
      <c r="E117" s="10" t="str">
        <f aca="false">TEXT(B117,"mmmm")</f>
        <v>sierpień</v>
      </c>
      <c r="F117" s="10" t="str">
        <f aca="false">"Q"&amp;ROUNDUP(D117/3,0)</f>
        <v>Q3</v>
      </c>
      <c r="G117" s="10" t="str">
        <f aca="false">IF(OR(D117=12,D117&lt;=2),"Winter",IF(D117&lt;=5,"Spring",IF(D117&lt;=8,"Summer","Autumn")))</f>
        <v>Summer</v>
      </c>
      <c r="H117" s="11" t="n">
        <f aca="false">weather_data!E117-weather_data!D117</f>
        <v>-0.599999999999998</v>
      </c>
      <c r="I117" s="10" t="n">
        <f aca="false">IF(OR(weather_data!H117="light rain",weather_data!H117="moderate rain",weather_data!H117="drizzle",weather_data!H117="thunderstorm"),1,0)</f>
        <v>0</v>
      </c>
      <c r="J117" s="10" t="n">
        <f aca="false">IF(weather_data!I117&gt;=25,1,0)</f>
        <v>0</v>
      </c>
    </row>
    <row r="118" customFormat="false" ht="15" hidden="false" customHeight="false" outlineLevel="0" collapsed="false">
      <c r="A118" s="8" t="n">
        <f aca="false">weather_data!B118</f>
        <v>45876.8333333333</v>
      </c>
      <c r="B118" s="9" t="n">
        <f aca="false">INT(A118)</f>
        <v>45876</v>
      </c>
      <c r="C118" s="10" t="str">
        <f aca="false">TEXT(B118,"yyyy-mm")</f>
        <v>2025-08</v>
      </c>
      <c r="D118" s="10" t="n">
        <f aca="false">MONTH(B118)</f>
        <v>8</v>
      </c>
      <c r="E118" s="10" t="str">
        <f aca="false">TEXT(B118,"mmmm")</f>
        <v>sierpień</v>
      </c>
      <c r="F118" s="10" t="str">
        <f aca="false">"Q"&amp;ROUNDUP(D118/3,0)</f>
        <v>Q3</v>
      </c>
      <c r="G118" s="10" t="str">
        <f aca="false">IF(OR(D118=12,D118&lt;=2),"Winter",IF(D118&lt;=5,"Spring",IF(D118&lt;=8,"Summer","Autumn")))</f>
        <v>Summer</v>
      </c>
      <c r="H118" s="11" t="n">
        <f aca="false">weather_data!E118-weather_data!D118</f>
        <v>1.1</v>
      </c>
      <c r="I118" s="10" t="n">
        <f aca="false">IF(OR(weather_data!H118="light rain",weather_data!H118="moderate rain",weather_data!H118="drizzle",weather_data!H118="thunderstorm"),1,0)</f>
        <v>1</v>
      </c>
      <c r="J118" s="10" t="n">
        <f aca="false">IF(weather_data!I118&gt;=25,1,0)</f>
        <v>0</v>
      </c>
    </row>
    <row r="119" customFormat="false" ht="15" hidden="false" customHeight="false" outlineLevel="0" collapsed="false">
      <c r="A119" s="8" t="n">
        <f aca="false">weather_data!B119</f>
        <v>45877.6319444445</v>
      </c>
      <c r="B119" s="9" t="n">
        <f aca="false">INT(A119)</f>
        <v>45877</v>
      </c>
      <c r="C119" s="10" t="str">
        <f aca="false">TEXT(B119,"yyyy-mm")</f>
        <v>2025-08</v>
      </c>
      <c r="D119" s="10" t="n">
        <f aca="false">MONTH(B119)</f>
        <v>8</v>
      </c>
      <c r="E119" s="10" t="str">
        <f aca="false">TEXT(B119,"mmmm")</f>
        <v>sierpień</v>
      </c>
      <c r="F119" s="10" t="str">
        <f aca="false">"Q"&amp;ROUNDUP(D119/3,0)</f>
        <v>Q3</v>
      </c>
      <c r="G119" s="10" t="str">
        <f aca="false">IF(OR(D119=12,D119&lt;=2),"Winter",IF(D119&lt;=5,"Spring",IF(D119&lt;=8,"Summer","Autumn")))</f>
        <v>Summer</v>
      </c>
      <c r="H119" s="11" t="n">
        <f aca="false">weather_data!E119-weather_data!D119</f>
        <v>-1.1</v>
      </c>
      <c r="I119" s="10" t="n">
        <f aca="false">IF(OR(weather_data!H119="light rain",weather_data!H119="moderate rain",weather_data!H119="drizzle",weather_data!H119="thunderstorm"),1,0)</f>
        <v>0</v>
      </c>
      <c r="J119" s="10" t="n">
        <f aca="false">IF(weather_data!I119&gt;=25,1,0)</f>
        <v>0</v>
      </c>
    </row>
    <row r="120" customFormat="false" ht="15" hidden="false" customHeight="false" outlineLevel="0" collapsed="false">
      <c r="A120" s="8" t="n">
        <f aca="false">weather_data!B120</f>
        <v>45878.5972222222</v>
      </c>
      <c r="B120" s="9" t="n">
        <f aca="false">INT(A120)</f>
        <v>45878</v>
      </c>
      <c r="C120" s="10" t="str">
        <f aca="false">TEXT(B120,"yyyy-mm")</f>
        <v>2025-08</v>
      </c>
      <c r="D120" s="10" t="n">
        <f aca="false">MONTH(B120)</f>
        <v>8</v>
      </c>
      <c r="E120" s="10" t="str">
        <f aca="false">TEXT(B120,"mmmm")</f>
        <v>sierpień</v>
      </c>
      <c r="F120" s="10" t="str">
        <f aca="false">"Q"&amp;ROUNDUP(D120/3,0)</f>
        <v>Q3</v>
      </c>
      <c r="G120" s="10" t="str">
        <f aca="false">IF(OR(D120=12,D120&lt;=2),"Winter",IF(D120&lt;=5,"Spring",IF(D120&lt;=8,"Summer","Autumn")))</f>
        <v>Summer</v>
      </c>
      <c r="H120" s="11" t="n">
        <f aca="false">weather_data!E120-weather_data!D120</f>
        <v>0.300000000000001</v>
      </c>
      <c r="I120" s="10" t="n">
        <f aca="false">IF(OR(weather_data!H120="light rain",weather_data!H120="moderate rain",weather_data!H120="drizzle",weather_data!H120="thunderstorm"),1,0)</f>
        <v>0</v>
      </c>
      <c r="J120" s="10" t="n">
        <f aca="false">IF(weather_data!I120&gt;=25,1,0)</f>
        <v>0</v>
      </c>
    </row>
    <row r="121" customFormat="false" ht="15" hidden="false" customHeight="false" outlineLevel="0" collapsed="false">
      <c r="A121" s="8" t="n">
        <f aca="false">weather_data!B121</f>
        <v>45879.6944444445</v>
      </c>
      <c r="B121" s="9" t="n">
        <f aca="false">INT(A121)</f>
        <v>45879</v>
      </c>
      <c r="C121" s="10" t="str">
        <f aca="false">TEXT(B121,"yyyy-mm")</f>
        <v>2025-08</v>
      </c>
      <c r="D121" s="10" t="n">
        <f aca="false">MONTH(B121)</f>
        <v>8</v>
      </c>
      <c r="E121" s="10" t="str">
        <f aca="false">TEXT(B121,"mmmm")</f>
        <v>sierpień</v>
      </c>
      <c r="F121" s="10" t="str">
        <f aca="false">"Q"&amp;ROUNDUP(D121/3,0)</f>
        <v>Q3</v>
      </c>
      <c r="G121" s="10" t="str">
        <f aca="false">IF(OR(D121=12,D121&lt;=2),"Winter",IF(D121&lt;=5,"Spring",IF(D121&lt;=8,"Summer","Autumn")))</f>
        <v>Summer</v>
      </c>
      <c r="H121" s="11" t="n">
        <f aca="false">weather_data!E121-weather_data!D121</f>
        <v>0.399999999999999</v>
      </c>
      <c r="I121" s="10" t="n">
        <f aca="false">IF(OR(weather_data!H121="light rain",weather_data!H121="moderate rain",weather_data!H121="drizzle",weather_data!H121="thunderstorm"),1,0)</f>
        <v>0</v>
      </c>
      <c r="J121" s="10" t="n">
        <f aca="false">IF(weather_data!I121&gt;=25,1,0)</f>
        <v>0</v>
      </c>
    </row>
    <row r="122" customFormat="false" ht="15" hidden="false" customHeight="false" outlineLevel="0" collapsed="false">
      <c r="A122" s="8" t="n">
        <f aca="false">weather_data!B122</f>
        <v>45880.3402777778</v>
      </c>
      <c r="B122" s="9" t="n">
        <f aca="false">INT(A122)</f>
        <v>45880</v>
      </c>
      <c r="C122" s="10" t="str">
        <f aca="false">TEXT(B122,"yyyy-mm")</f>
        <v>2025-08</v>
      </c>
      <c r="D122" s="10" t="n">
        <f aca="false">MONTH(B122)</f>
        <v>8</v>
      </c>
      <c r="E122" s="10" t="str">
        <f aca="false">TEXT(B122,"mmmm")</f>
        <v>sierpień</v>
      </c>
      <c r="F122" s="10" t="str">
        <f aca="false">"Q"&amp;ROUNDUP(D122/3,0)</f>
        <v>Q3</v>
      </c>
      <c r="G122" s="10" t="str">
        <f aca="false">IF(OR(D122=12,D122&lt;=2),"Winter",IF(D122&lt;=5,"Spring",IF(D122&lt;=8,"Summer","Autumn")))</f>
        <v>Summer</v>
      </c>
      <c r="H122" s="11" t="n">
        <f aca="false">weather_data!E122-weather_data!D122</f>
        <v>0.100000000000001</v>
      </c>
      <c r="I122" s="10" t="n">
        <f aca="false">IF(OR(weather_data!H122="light rain",weather_data!H122="moderate rain",weather_data!H122="drizzle",weather_data!H122="thunderstorm"),1,0)</f>
        <v>1</v>
      </c>
      <c r="J122" s="10" t="n">
        <f aca="false">IF(weather_data!I122&gt;=25,1,0)</f>
        <v>0</v>
      </c>
    </row>
    <row r="123" customFormat="false" ht="15" hidden="false" customHeight="false" outlineLevel="0" collapsed="false">
      <c r="A123" s="8" t="n">
        <f aca="false">weather_data!B123</f>
        <v>45881.4236111111</v>
      </c>
      <c r="B123" s="9" t="n">
        <f aca="false">INT(A123)</f>
        <v>45881</v>
      </c>
      <c r="C123" s="10" t="str">
        <f aca="false">TEXT(B123,"yyyy-mm")</f>
        <v>2025-08</v>
      </c>
      <c r="D123" s="10" t="n">
        <f aca="false">MONTH(B123)</f>
        <v>8</v>
      </c>
      <c r="E123" s="10" t="str">
        <f aca="false">TEXT(B123,"mmmm")</f>
        <v>sierpień</v>
      </c>
      <c r="F123" s="10" t="str">
        <f aca="false">"Q"&amp;ROUNDUP(D123/3,0)</f>
        <v>Q3</v>
      </c>
      <c r="G123" s="10" t="str">
        <f aca="false">IF(OR(D123=12,D123&lt;=2),"Winter",IF(D123&lt;=5,"Spring",IF(D123&lt;=8,"Summer","Autumn")))</f>
        <v>Summer</v>
      </c>
      <c r="H123" s="11" t="n">
        <f aca="false">weather_data!E123-weather_data!D123</f>
        <v>0.800000000000001</v>
      </c>
      <c r="I123" s="10" t="n">
        <f aca="false">IF(OR(weather_data!H123="light rain",weather_data!H123="moderate rain",weather_data!H123="drizzle",weather_data!H123="thunderstorm"),1,0)</f>
        <v>0</v>
      </c>
      <c r="J123" s="10" t="n">
        <f aca="false">IF(weather_data!I123&gt;=25,1,0)</f>
        <v>0</v>
      </c>
    </row>
    <row r="124" customFormat="false" ht="15" hidden="false" customHeight="false" outlineLevel="0" collapsed="false">
      <c r="A124" s="8" t="n">
        <f aca="false">weather_data!B124</f>
        <v>45882.7847222222</v>
      </c>
      <c r="B124" s="9" t="n">
        <f aca="false">INT(A124)</f>
        <v>45882</v>
      </c>
      <c r="C124" s="10" t="str">
        <f aca="false">TEXT(B124,"yyyy-mm")</f>
        <v>2025-08</v>
      </c>
      <c r="D124" s="10" t="n">
        <f aca="false">MONTH(B124)</f>
        <v>8</v>
      </c>
      <c r="E124" s="10" t="str">
        <f aca="false">TEXT(B124,"mmmm")</f>
        <v>sierpień</v>
      </c>
      <c r="F124" s="10" t="str">
        <f aca="false">"Q"&amp;ROUNDUP(D124/3,0)</f>
        <v>Q3</v>
      </c>
      <c r="G124" s="10" t="str">
        <f aca="false">IF(OR(D124=12,D124&lt;=2),"Winter",IF(D124&lt;=5,"Spring",IF(D124&lt;=8,"Summer","Autumn")))</f>
        <v>Summer</v>
      </c>
      <c r="H124" s="11" t="n">
        <f aca="false">weather_data!E124-weather_data!D124</f>
        <v>0.600000000000001</v>
      </c>
      <c r="I124" s="10" t="n">
        <f aca="false">IF(OR(weather_data!H124="light rain",weather_data!H124="moderate rain",weather_data!H124="drizzle",weather_data!H124="thunderstorm"),1,0)</f>
        <v>1</v>
      </c>
      <c r="J124" s="10" t="n">
        <f aca="false">IF(weather_data!I124&gt;=25,1,0)</f>
        <v>0</v>
      </c>
    </row>
    <row r="125" customFormat="false" ht="15" hidden="false" customHeight="false" outlineLevel="0" collapsed="false">
      <c r="A125" s="8" t="n">
        <f aca="false">weather_data!B125</f>
        <v>45883.4513888889</v>
      </c>
      <c r="B125" s="9" t="n">
        <f aca="false">INT(A125)</f>
        <v>45883</v>
      </c>
      <c r="C125" s="10" t="str">
        <f aca="false">TEXT(B125,"yyyy-mm")</f>
        <v>2025-08</v>
      </c>
      <c r="D125" s="10" t="n">
        <f aca="false">MONTH(B125)</f>
        <v>8</v>
      </c>
      <c r="E125" s="10" t="str">
        <f aca="false">TEXT(B125,"mmmm")</f>
        <v>sierpień</v>
      </c>
      <c r="F125" s="10" t="str">
        <f aca="false">"Q"&amp;ROUNDUP(D125/3,0)</f>
        <v>Q3</v>
      </c>
      <c r="G125" s="10" t="str">
        <f aca="false">IF(OR(D125=12,D125&lt;=2),"Winter",IF(D125&lt;=5,"Spring",IF(D125&lt;=8,"Summer","Autumn")))</f>
        <v>Summer</v>
      </c>
      <c r="H125" s="11" t="n">
        <f aca="false">weather_data!E125-weather_data!D125</f>
        <v>-0.100000000000001</v>
      </c>
      <c r="I125" s="10" t="n">
        <f aca="false">IF(OR(weather_data!H125="light rain",weather_data!H125="moderate rain",weather_data!H125="drizzle",weather_data!H125="thunderstorm"),1,0)</f>
        <v>0</v>
      </c>
      <c r="J125" s="10" t="n">
        <f aca="false">IF(weather_data!I125&gt;=25,1,0)</f>
        <v>0</v>
      </c>
    </row>
    <row r="126" customFormat="false" ht="15" hidden="false" customHeight="false" outlineLevel="0" collapsed="false">
      <c r="A126" s="8" t="n">
        <f aca="false">weather_data!B126</f>
        <v>45884.5</v>
      </c>
      <c r="B126" s="9" t="n">
        <f aca="false">INT(A126)</f>
        <v>45884</v>
      </c>
      <c r="C126" s="10" t="str">
        <f aca="false">TEXT(B126,"yyyy-mm")</f>
        <v>2025-08</v>
      </c>
      <c r="D126" s="10" t="n">
        <f aca="false">MONTH(B126)</f>
        <v>8</v>
      </c>
      <c r="E126" s="10" t="str">
        <f aca="false">TEXT(B126,"mmmm")</f>
        <v>sierpień</v>
      </c>
      <c r="F126" s="10" t="str">
        <f aca="false">"Q"&amp;ROUNDUP(D126/3,0)</f>
        <v>Q3</v>
      </c>
      <c r="G126" s="10" t="str">
        <f aca="false">IF(OR(D126=12,D126&lt;=2),"Winter",IF(D126&lt;=5,"Spring",IF(D126&lt;=8,"Summer","Autumn")))</f>
        <v>Summer</v>
      </c>
      <c r="H126" s="11" t="n">
        <f aca="false">weather_data!E126-weather_data!D126</f>
        <v>-1</v>
      </c>
      <c r="I126" s="10" t="n">
        <f aca="false">IF(OR(weather_data!H126="light rain",weather_data!H126="moderate rain",weather_data!H126="drizzle",weather_data!H126="thunderstorm"),1,0)</f>
        <v>0</v>
      </c>
      <c r="J126" s="10" t="n">
        <f aca="false">IF(weather_data!I126&gt;=25,1,0)</f>
        <v>0</v>
      </c>
    </row>
    <row r="127" customFormat="false" ht="15" hidden="false" customHeight="false" outlineLevel="0" collapsed="false">
      <c r="A127" s="8" t="n">
        <f aca="false">weather_data!B127</f>
        <v>45885.8125</v>
      </c>
      <c r="B127" s="9" t="n">
        <f aca="false">INT(A127)</f>
        <v>45885</v>
      </c>
      <c r="C127" s="10" t="str">
        <f aca="false">TEXT(B127,"yyyy-mm")</f>
        <v>2025-08</v>
      </c>
      <c r="D127" s="10" t="n">
        <f aca="false">MONTH(B127)</f>
        <v>8</v>
      </c>
      <c r="E127" s="10" t="str">
        <f aca="false">TEXT(B127,"mmmm")</f>
        <v>sierpień</v>
      </c>
      <c r="F127" s="10" t="str">
        <f aca="false">"Q"&amp;ROUNDUP(D127/3,0)</f>
        <v>Q3</v>
      </c>
      <c r="G127" s="10" t="str">
        <f aca="false">IF(OR(D127=12,D127&lt;=2),"Winter",IF(D127&lt;=5,"Spring",IF(D127&lt;=8,"Summer","Autumn")))</f>
        <v>Summer</v>
      </c>
      <c r="H127" s="11" t="n">
        <f aca="false">weather_data!E127-weather_data!D127</f>
        <v>0.800000000000001</v>
      </c>
      <c r="I127" s="10" t="n">
        <f aca="false">IF(OR(weather_data!H127="light rain",weather_data!H127="moderate rain",weather_data!H127="drizzle",weather_data!H127="thunderstorm"),1,0)</f>
        <v>0</v>
      </c>
      <c r="J127" s="10" t="n">
        <f aca="false">IF(weather_data!I127&gt;=25,1,0)</f>
        <v>0</v>
      </c>
    </row>
    <row r="128" customFormat="false" ht="15" hidden="false" customHeight="false" outlineLevel="0" collapsed="false">
      <c r="A128" s="8" t="n">
        <f aca="false">weather_data!B128</f>
        <v>45886.6944444445</v>
      </c>
      <c r="B128" s="9" t="n">
        <f aca="false">INT(A128)</f>
        <v>45886</v>
      </c>
      <c r="C128" s="10" t="str">
        <f aca="false">TEXT(B128,"yyyy-mm")</f>
        <v>2025-08</v>
      </c>
      <c r="D128" s="10" t="n">
        <f aca="false">MONTH(B128)</f>
        <v>8</v>
      </c>
      <c r="E128" s="10" t="str">
        <f aca="false">TEXT(B128,"mmmm")</f>
        <v>sierpień</v>
      </c>
      <c r="F128" s="10" t="str">
        <f aca="false">"Q"&amp;ROUNDUP(D128/3,0)</f>
        <v>Q3</v>
      </c>
      <c r="G128" s="10" t="str">
        <f aca="false">IF(OR(D128=12,D128&lt;=2),"Winter",IF(D128&lt;=5,"Spring",IF(D128&lt;=8,"Summer","Autumn")))</f>
        <v>Summer</v>
      </c>
      <c r="H128" s="11" t="n">
        <f aca="false">weather_data!E128-weather_data!D128</f>
        <v>-1</v>
      </c>
      <c r="I128" s="10" t="n">
        <f aca="false">IF(OR(weather_data!H128="light rain",weather_data!H128="moderate rain",weather_data!H128="drizzle",weather_data!H128="thunderstorm"),1,0)</f>
        <v>0</v>
      </c>
      <c r="J128" s="10" t="n">
        <f aca="false">IF(weather_data!I128&gt;=25,1,0)</f>
        <v>0</v>
      </c>
    </row>
    <row r="129" customFormat="false" ht="15" hidden="false" customHeight="false" outlineLevel="0" collapsed="false">
      <c r="A129" s="8" t="n">
        <f aca="false">weather_data!B129</f>
        <v>45887.8541666667</v>
      </c>
      <c r="B129" s="9" t="n">
        <f aca="false">INT(A129)</f>
        <v>45887</v>
      </c>
      <c r="C129" s="10" t="str">
        <f aca="false">TEXT(B129,"yyyy-mm")</f>
        <v>2025-08</v>
      </c>
      <c r="D129" s="10" t="n">
        <f aca="false">MONTH(B129)</f>
        <v>8</v>
      </c>
      <c r="E129" s="10" t="str">
        <f aca="false">TEXT(B129,"mmmm")</f>
        <v>sierpień</v>
      </c>
      <c r="F129" s="10" t="str">
        <f aca="false">"Q"&amp;ROUNDUP(D129/3,0)</f>
        <v>Q3</v>
      </c>
      <c r="G129" s="10" t="str">
        <f aca="false">IF(OR(D129=12,D129&lt;=2),"Winter",IF(D129&lt;=5,"Spring",IF(D129&lt;=8,"Summer","Autumn")))</f>
        <v>Summer</v>
      </c>
      <c r="H129" s="11" t="n">
        <f aca="false">weather_data!E129-weather_data!D129</f>
        <v>1.1</v>
      </c>
      <c r="I129" s="10" t="n">
        <f aca="false">IF(OR(weather_data!H129="light rain",weather_data!H129="moderate rain",weather_data!H129="drizzle",weather_data!H129="thunderstorm"),1,0)</f>
        <v>0</v>
      </c>
      <c r="J129" s="10" t="n">
        <f aca="false">IF(weather_data!I129&gt;=25,1,0)</f>
        <v>0</v>
      </c>
    </row>
    <row r="130" customFormat="false" ht="15" hidden="false" customHeight="false" outlineLevel="0" collapsed="false">
      <c r="A130" s="8" t="n">
        <f aca="false">weather_data!B130</f>
        <v>45888.2986111111</v>
      </c>
      <c r="B130" s="9" t="n">
        <f aca="false">INT(A130)</f>
        <v>45888</v>
      </c>
      <c r="C130" s="10" t="str">
        <f aca="false">TEXT(B130,"yyyy-mm")</f>
        <v>2025-08</v>
      </c>
      <c r="D130" s="10" t="n">
        <f aca="false">MONTH(B130)</f>
        <v>8</v>
      </c>
      <c r="E130" s="10" t="str">
        <f aca="false">TEXT(B130,"mmmm")</f>
        <v>sierpień</v>
      </c>
      <c r="F130" s="10" t="str">
        <f aca="false">"Q"&amp;ROUNDUP(D130/3,0)</f>
        <v>Q3</v>
      </c>
      <c r="G130" s="10" t="str">
        <f aca="false">IF(OR(D130=12,D130&lt;=2),"Winter",IF(D130&lt;=5,"Spring",IF(D130&lt;=8,"Summer","Autumn")))</f>
        <v>Summer</v>
      </c>
      <c r="H130" s="11" t="n">
        <f aca="false">weather_data!E130-weather_data!D130</f>
        <v>0.5</v>
      </c>
      <c r="I130" s="10" t="n">
        <f aca="false">IF(OR(weather_data!H130="light rain",weather_data!H130="moderate rain",weather_data!H130="drizzle",weather_data!H130="thunderstorm"),1,0)</f>
        <v>1</v>
      </c>
      <c r="J130" s="10" t="n">
        <f aca="false">IF(weather_data!I130&gt;=25,1,0)</f>
        <v>0</v>
      </c>
    </row>
    <row r="131" customFormat="false" ht="15" hidden="false" customHeight="false" outlineLevel="0" collapsed="false">
      <c r="A131" s="8" t="n">
        <f aca="false">weather_data!B131</f>
        <v>45889.8125</v>
      </c>
      <c r="B131" s="9" t="n">
        <f aca="false">INT(A131)</f>
        <v>45889</v>
      </c>
      <c r="C131" s="10" t="str">
        <f aca="false">TEXT(B131,"yyyy-mm")</f>
        <v>2025-08</v>
      </c>
      <c r="D131" s="10" t="n">
        <f aca="false">MONTH(B131)</f>
        <v>8</v>
      </c>
      <c r="E131" s="10" t="str">
        <f aca="false">TEXT(B131,"mmmm")</f>
        <v>sierpień</v>
      </c>
      <c r="F131" s="10" t="str">
        <f aca="false">"Q"&amp;ROUNDUP(D131/3,0)</f>
        <v>Q3</v>
      </c>
      <c r="G131" s="10" t="str">
        <f aca="false">IF(OR(D131=12,D131&lt;=2),"Winter",IF(D131&lt;=5,"Spring",IF(D131&lt;=8,"Summer","Autumn")))</f>
        <v>Summer</v>
      </c>
      <c r="H131" s="11" t="n">
        <f aca="false">weather_data!E131-weather_data!D131</f>
        <v>1.5</v>
      </c>
      <c r="I131" s="10" t="n">
        <f aca="false">IF(OR(weather_data!H131="light rain",weather_data!H131="moderate rain",weather_data!H131="drizzle",weather_data!H131="thunderstorm"),1,0)</f>
        <v>0</v>
      </c>
      <c r="J131" s="10" t="n">
        <f aca="false">IF(weather_data!I131&gt;=25,1,0)</f>
        <v>0</v>
      </c>
    </row>
    <row r="132" customFormat="false" ht="15" hidden="false" customHeight="false" outlineLevel="0" collapsed="false">
      <c r="A132" s="8" t="n">
        <f aca="false">weather_data!B132</f>
        <v>45890.2777777778</v>
      </c>
      <c r="B132" s="9" t="n">
        <f aca="false">INT(A132)</f>
        <v>45890</v>
      </c>
      <c r="C132" s="10" t="str">
        <f aca="false">TEXT(B132,"yyyy-mm")</f>
        <v>2025-08</v>
      </c>
      <c r="D132" s="10" t="n">
        <f aca="false">MONTH(B132)</f>
        <v>8</v>
      </c>
      <c r="E132" s="10" t="str">
        <f aca="false">TEXT(B132,"mmmm")</f>
        <v>sierpień</v>
      </c>
      <c r="F132" s="10" t="str">
        <f aca="false">"Q"&amp;ROUNDUP(D132/3,0)</f>
        <v>Q3</v>
      </c>
      <c r="G132" s="10" t="str">
        <f aca="false">IF(OR(D132=12,D132&lt;=2),"Winter",IF(D132&lt;=5,"Spring",IF(D132&lt;=8,"Summer","Autumn")))</f>
        <v>Summer</v>
      </c>
      <c r="H132" s="11" t="n">
        <f aca="false">weather_data!E132-weather_data!D132</f>
        <v>0.300000000000001</v>
      </c>
      <c r="I132" s="10" t="n">
        <f aca="false">IF(OR(weather_data!H132="light rain",weather_data!H132="moderate rain",weather_data!H132="drizzle",weather_data!H132="thunderstorm"),1,0)</f>
        <v>0</v>
      </c>
      <c r="J132" s="10" t="n">
        <f aca="false">IF(weather_data!I132&gt;=25,1,0)</f>
        <v>0</v>
      </c>
    </row>
    <row r="133" customFormat="false" ht="15" hidden="false" customHeight="false" outlineLevel="0" collapsed="false">
      <c r="A133" s="8" t="n">
        <f aca="false">weather_data!B133</f>
        <v>45891.7708333333</v>
      </c>
      <c r="B133" s="9" t="n">
        <f aca="false">INT(A133)</f>
        <v>45891</v>
      </c>
      <c r="C133" s="10" t="str">
        <f aca="false">TEXT(B133,"yyyy-mm")</f>
        <v>2025-08</v>
      </c>
      <c r="D133" s="10" t="n">
        <f aca="false">MONTH(B133)</f>
        <v>8</v>
      </c>
      <c r="E133" s="10" t="str">
        <f aca="false">TEXT(B133,"mmmm")</f>
        <v>sierpień</v>
      </c>
      <c r="F133" s="10" t="str">
        <f aca="false">"Q"&amp;ROUNDUP(D133/3,0)</f>
        <v>Q3</v>
      </c>
      <c r="G133" s="10" t="str">
        <f aca="false">IF(OR(D133=12,D133&lt;=2),"Winter",IF(D133&lt;=5,"Spring",IF(D133&lt;=8,"Summer","Autumn")))</f>
        <v>Summer</v>
      </c>
      <c r="H133" s="11" t="n">
        <f aca="false">weather_data!E133-weather_data!D133</f>
        <v>-0.699999999999999</v>
      </c>
      <c r="I133" s="10" t="n">
        <f aca="false">IF(OR(weather_data!H133="light rain",weather_data!H133="moderate rain",weather_data!H133="drizzle",weather_data!H133="thunderstorm"),1,0)</f>
        <v>0</v>
      </c>
      <c r="J133" s="10" t="n">
        <f aca="false">IF(weather_data!I133&gt;=25,1,0)</f>
        <v>1</v>
      </c>
    </row>
    <row r="134" customFormat="false" ht="15" hidden="false" customHeight="false" outlineLevel="0" collapsed="false">
      <c r="A134" s="8" t="n">
        <f aca="false">weather_data!B134</f>
        <v>45892.2638888889</v>
      </c>
      <c r="B134" s="9" t="n">
        <f aca="false">INT(A134)</f>
        <v>45892</v>
      </c>
      <c r="C134" s="10" t="str">
        <f aca="false">TEXT(B134,"yyyy-mm")</f>
        <v>2025-08</v>
      </c>
      <c r="D134" s="10" t="n">
        <f aca="false">MONTH(B134)</f>
        <v>8</v>
      </c>
      <c r="E134" s="10" t="str">
        <f aca="false">TEXT(B134,"mmmm")</f>
        <v>sierpień</v>
      </c>
      <c r="F134" s="10" t="str">
        <f aca="false">"Q"&amp;ROUNDUP(D134/3,0)</f>
        <v>Q3</v>
      </c>
      <c r="G134" s="10" t="str">
        <f aca="false">IF(OR(D134=12,D134&lt;=2),"Winter",IF(D134&lt;=5,"Spring",IF(D134&lt;=8,"Summer","Autumn")))</f>
        <v>Summer</v>
      </c>
      <c r="H134" s="11" t="n">
        <f aca="false">weather_data!E134-weather_data!D134</f>
        <v>1.1</v>
      </c>
      <c r="I134" s="10" t="n">
        <f aca="false">IF(OR(weather_data!H134="light rain",weather_data!H134="moderate rain",weather_data!H134="drizzle",weather_data!H134="thunderstorm"),1,0)</f>
        <v>1</v>
      </c>
      <c r="J134" s="10" t="n">
        <f aca="false">IF(weather_data!I134&gt;=25,1,0)</f>
        <v>0</v>
      </c>
    </row>
    <row r="135" customFormat="false" ht="15" hidden="false" customHeight="false" outlineLevel="0" collapsed="false">
      <c r="A135" s="8" t="n">
        <f aca="false">weather_data!B135</f>
        <v>45893.6458333333</v>
      </c>
      <c r="B135" s="9" t="n">
        <f aca="false">INT(A135)</f>
        <v>45893</v>
      </c>
      <c r="C135" s="10" t="str">
        <f aca="false">TEXT(B135,"yyyy-mm")</f>
        <v>2025-08</v>
      </c>
      <c r="D135" s="10" t="n">
        <f aca="false">MONTH(B135)</f>
        <v>8</v>
      </c>
      <c r="E135" s="10" t="str">
        <f aca="false">TEXT(B135,"mmmm")</f>
        <v>sierpień</v>
      </c>
      <c r="F135" s="10" t="str">
        <f aca="false">"Q"&amp;ROUNDUP(D135/3,0)</f>
        <v>Q3</v>
      </c>
      <c r="G135" s="10" t="str">
        <f aca="false">IF(OR(D135=12,D135&lt;=2),"Winter",IF(D135&lt;=5,"Spring",IF(D135&lt;=8,"Summer","Autumn")))</f>
        <v>Summer</v>
      </c>
      <c r="H135" s="11" t="n">
        <f aca="false">weather_data!E135-weather_data!D135</f>
        <v>0.699999999999999</v>
      </c>
      <c r="I135" s="10" t="n">
        <f aca="false">IF(OR(weather_data!H135="light rain",weather_data!H135="moderate rain",weather_data!H135="drizzle",weather_data!H135="thunderstorm"),1,0)</f>
        <v>0</v>
      </c>
      <c r="J135" s="10" t="n">
        <f aca="false">IF(weather_data!I135&gt;=25,1,0)</f>
        <v>0</v>
      </c>
    </row>
    <row r="136" customFormat="false" ht="15" hidden="false" customHeight="false" outlineLevel="0" collapsed="false">
      <c r="A136" s="8" t="n">
        <f aca="false">weather_data!B136</f>
        <v>45894.8194444445</v>
      </c>
      <c r="B136" s="9" t="n">
        <f aca="false">INT(A136)</f>
        <v>45894</v>
      </c>
      <c r="C136" s="10" t="str">
        <f aca="false">TEXT(B136,"yyyy-mm")</f>
        <v>2025-08</v>
      </c>
      <c r="D136" s="10" t="n">
        <f aca="false">MONTH(B136)</f>
        <v>8</v>
      </c>
      <c r="E136" s="10" t="str">
        <f aca="false">TEXT(B136,"mmmm")</f>
        <v>sierpień</v>
      </c>
      <c r="F136" s="10" t="str">
        <f aca="false">"Q"&amp;ROUNDUP(D136/3,0)</f>
        <v>Q3</v>
      </c>
      <c r="G136" s="10" t="str">
        <f aca="false">IF(OR(D136=12,D136&lt;=2),"Winter",IF(D136&lt;=5,"Spring",IF(D136&lt;=8,"Summer","Autumn")))</f>
        <v>Summer</v>
      </c>
      <c r="H136" s="11" t="n">
        <f aca="false">weather_data!E136-weather_data!D136</f>
        <v>-1</v>
      </c>
      <c r="I136" s="10" t="n">
        <f aca="false">IF(OR(weather_data!H136="light rain",weather_data!H136="moderate rain",weather_data!H136="drizzle",weather_data!H136="thunderstorm"),1,0)</f>
        <v>0</v>
      </c>
      <c r="J136" s="10" t="n">
        <f aca="false">IF(weather_data!I136&gt;=25,1,0)</f>
        <v>0</v>
      </c>
    </row>
    <row r="137" customFormat="false" ht="15" hidden="false" customHeight="false" outlineLevel="0" collapsed="false">
      <c r="A137" s="8" t="n">
        <f aca="false">weather_data!B137</f>
        <v>45895.5625</v>
      </c>
      <c r="B137" s="9" t="n">
        <f aca="false">INT(A137)</f>
        <v>45895</v>
      </c>
      <c r="C137" s="10" t="str">
        <f aca="false">TEXT(B137,"yyyy-mm")</f>
        <v>2025-08</v>
      </c>
      <c r="D137" s="10" t="n">
        <f aca="false">MONTH(B137)</f>
        <v>8</v>
      </c>
      <c r="E137" s="10" t="str">
        <f aca="false">TEXT(B137,"mmmm")</f>
        <v>sierpień</v>
      </c>
      <c r="F137" s="10" t="str">
        <f aca="false">"Q"&amp;ROUNDUP(D137/3,0)</f>
        <v>Q3</v>
      </c>
      <c r="G137" s="10" t="str">
        <f aca="false">IF(OR(D137=12,D137&lt;=2),"Winter",IF(D137&lt;=5,"Spring",IF(D137&lt;=8,"Summer","Autumn")))</f>
        <v>Summer</v>
      </c>
      <c r="H137" s="11" t="n">
        <f aca="false">weather_data!E137-weather_data!D137</f>
        <v>-0.599999999999998</v>
      </c>
      <c r="I137" s="10" t="n">
        <f aca="false">IF(OR(weather_data!H137="light rain",weather_data!H137="moderate rain",weather_data!H137="drizzle",weather_data!H137="thunderstorm"),1,0)</f>
        <v>0</v>
      </c>
      <c r="J137" s="10" t="n">
        <f aca="false">IF(weather_data!I137&gt;=25,1,0)</f>
        <v>0</v>
      </c>
    </row>
    <row r="138" customFormat="false" ht="15" hidden="false" customHeight="false" outlineLevel="0" collapsed="false">
      <c r="A138" s="8" t="n">
        <f aca="false">weather_data!B138</f>
        <v>45896.5555555556</v>
      </c>
      <c r="B138" s="9" t="n">
        <f aca="false">INT(A138)</f>
        <v>45896</v>
      </c>
      <c r="C138" s="10" t="str">
        <f aca="false">TEXT(B138,"yyyy-mm")</f>
        <v>2025-08</v>
      </c>
      <c r="D138" s="10" t="n">
        <f aca="false">MONTH(B138)</f>
        <v>8</v>
      </c>
      <c r="E138" s="10" t="str">
        <f aca="false">TEXT(B138,"mmmm")</f>
        <v>sierpień</v>
      </c>
      <c r="F138" s="10" t="str">
        <f aca="false">"Q"&amp;ROUNDUP(D138/3,0)</f>
        <v>Q3</v>
      </c>
      <c r="G138" s="10" t="str">
        <f aca="false">IF(OR(D138=12,D138&lt;=2),"Winter",IF(D138&lt;=5,"Spring",IF(D138&lt;=8,"Summer","Autumn")))</f>
        <v>Summer</v>
      </c>
      <c r="H138" s="11" t="n">
        <f aca="false">weather_data!E138-weather_data!D138</f>
        <v>0.300000000000001</v>
      </c>
      <c r="I138" s="10" t="n">
        <f aca="false">IF(OR(weather_data!H138="light rain",weather_data!H138="moderate rain",weather_data!H138="drizzle",weather_data!H138="thunderstorm"),1,0)</f>
        <v>0</v>
      </c>
      <c r="J138" s="10" t="n">
        <f aca="false">IF(weather_data!I138&gt;=25,1,0)</f>
        <v>0</v>
      </c>
    </row>
    <row r="139" customFormat="false" ht="15" hidden="false" customHeight="false" outlineLevel="0" collapsed="false">
      <c r="A139" s="8" t="n">
        <f aca="false">weather_data!B139</f>
        <v>45897.8125</v>
      </c>
      <c r="B139" s="9" t="n">
        <f aca="false">INT(A139)</f>
        <v>45897</v>
      </c>
      <c r="C139" s="10" t="str">
        <f aca="false">TEXT(B139,"yyyy-mm")</f>
        <v>2025-08</v>
      </c>
      <c r="D139" s="10" t="n">
        <f aca="false">MONTH(B139)</f>
        <v>8</v>
      </c>
      <c r="E139" s="10" t="str">
        <f aca="false">TEXT(B139,"mmmm")</f>
        <v>sierpień</v>
      </c>
      <c r="F139" s="10" t="str">
        <f aca="false">"Q"&amp;ROUNDUP(D139/3,0)</f>
        <v>Q3</v>
      </c>
      <c r="G139" s="10" t="str">
        <f aca="false">IF(OR(D139=12,D139&lt;=2),"Winter",IF(D139&lt;=5,"Spring",IF(D139&lt;=8,"Summer","Autumn")))</f>
        <v>Summer</v>
      </c>
      <c r="H139" s="11" t="n">
        <f aca="false">weather_data!E139-weather_data!D139</f>
        <v>0.899999999999999</v>
      </c>
      <c r="I139" s="10" t="n">
        <f aca="false">IF(OR(weather_data!H139="light rain",weather_data!H139="moderate rain",weather_data!H139="drizzle",weather_data!H139="thunderstorm"),1,0)</f>
        <v>1</v>
      </c>
      <c r="J139" s="10" t="n">
        <f aca="false">IF(weather_data!I139&gt;=25,1,0)</f>
        <v>0</v>
      </c>
    </row>
    <row r="140" customFormat="false" ht="15" hidden="false" customHeight="false" outlineLevel="0" collapsed="false">
      <c r="A140" s="8" t="n">
        <f aca="false">weather_data!B140</f>
        <v>45898.2708333333</v>
      </c>
      <c r="B140" s="9" t="n">
        <f aca="false">INT(A140)</f>
        <v>45898</v>
      </c>
      <c r="C140" s="10" t="str">
        <f aca="false">TEXT(B140,"yyyy-mm")</f>
        <v>2025-08</v>
      </c>
      <c r="D140" s="10" t="n">
        <f aca="false">MONTH(B140)</f>
        <v>8</v>
      </c>
      <c r="E140" s="10" t="str">
        <f aca="false">TEXT(B140,"mmmm")</f>
        <v>sierpień</v>
      </c>
      <c r="F140" s="10" t="str">
        <f aca="false">"Q"&amp;ROUNDUP(D140/3,0)</f>
        <v>Q3</v>
      </c>
      <c r="G140" s="10" t="str">
        <f aca="false">IF(OR(D140=12,D140&lt;=2),"Winter",IF(D140&lt;=5,"Spring",IF(D140&lt;=8,"Summer","Autumn")))</f>
        <v>Summer</v>
      </c>
      <c r="H140" s="11" t="n">
        <f aca="false">weather_data!E140-weather_data!D140</f>
        <v>0.300000000000001</v>
      </c>
      <c r="I140" s="10" t="n">
        <f aca="false">IF(OR(weather_data!H140="light rain",weather_data!H140="moderate rain",weather_data!H140="drizzle",weather_data!H140="thunderstorm"),1,0)</f>
        <v>0</v>
      </c>
      <c r="J140" s="10" t="n">
        <f aca="false">IF(weather_data!I140&gt;=25,1,0)</f>
        <v>0</v>
      </c>
    </row>
    <row r="141" customFormat="false" ht="15" hidden="false" customHeight="false" outlineLevel="0" collapsed="false">
      <c r="A141" s="8" t="n">
        <f aca="false">weather_data!B141</f>
        <v>45899.7013888889</v>
      </c>
      <c r="B141" s="9" t="n">
        <f aca="false">INT(A141)</f>
        <v>45899</v>
      </c>
      <c r="C141" s="10" t="str">
        <f aca="false">TEXT(B141,"yyyy-mm")</f>
        <v>2025-08</v>
      </c>
      <c r="D141" s="10" t="n">
        <f aca="false">MONTH(B141)</f>
        <v>8</v>
      </c>
      <c r="E141" s="10" t="str">
        <f aca="false">TEXT(B141,"mmmm")</f>
        <v>sierpień</v>
      </c>
      <c r="F141" s="10" t="str">
        <f aca="false">"Q"&amp;ROUNDUP(D141/3,0)</f>
        <v>Q3</v>
      </c>
      <c r="G141" s="10" t="str">
        <f aca="false">IF(OR(D141=12,D141&lt;=2),"Winter",IF(D141&lt;=5,"Spring",IF(D141&lt;=8,"Summer","Autumn")))</f>
        <v>Summer</v>
      </c>
      <c r="H141" s="11" t="n">
        <f aca="false">weather_data!E141-weather_data!D141</f>
        <v>-0.100000000000001</v>
      </c>
      <c r="I141" s="10" t="n">
        <f aca="false">IF(OR(weather_data!H141="light rain",weather_data!H141="moderate rain",weather_data!H141="drizzle",weather_data!H141="thunderstorm"),1,0)</f>
        <v>0</v>
      </c>
      <c r="J141" s="10" t="n">
        <f aca="false">IF(weather_data!I141&gt;=25,1,0)</f>
        <v>0</v>
      </c>
    </row>
    <row r="142" customFormat="false" ht="15" hidden="false" customHeight="false" outlineLevel="0" collapsed="false">
      <c r="A142" s="8" t="n">
        <f aca="false">weather_data!B142</f>
        <v>45900.7847222222</v>
      </c>
      <c r="B142" s="9" t="n">
        <f aca="false">INT(A142)</f>
        <v>45900</v>
      </c>
      <c r="C142" s="10" t="str">
        <f aca="false">TEXT(B142,"yyyy-mm")</f>
        <v>2025-08</v>
      </c>
      <c r="D142" s="10" t="n">
        <f aca="false">MONTH(B142)</f>
        <v>8</v>
      </c>
      <c r="E142" s="10" t="str">
        <f aca="false">TEXT(B142,"mmmm")</f>
        <v>sierpień</v>
      </c>
      <c r="F142" s="10" t="str">
        <f aca="false">"Q"&amp;ROUNDUP(D142/3,0)</f>
        <v>Q3</v>
      </c>
      <c r="G142" s="10" t="str">
        <f aca="false">IF(OR(D142=12,D142&lt;=2),"Winter",IF(D142&lt;=5,"Spring",IF(D142&lt;=8,"Summer","Autumn")))</f>
        <v>Summer</v>
      </c>
      <c r="H142" s="11" t="n">
        <f aca="false">weather_data!E142-weather_data!D142</f>
        <v>2.6</v>
      </c>
      <c r="I142" s="10" t="n">
        <f aca="false">IF(OR(weather_data!H142="light rain",weather_data!H142="moderate rain",weather_data!H142="drizzle",weather_data!H142="thunderstorm"),1,0)</f>
        <v>1</v>
      </c>
      <c r="J142" s="10" t="n">
        <f aca="false">IF(weather_data!I142&gt;=25,1,0)</f>
        <v>0</v>
      </c>
    </row>
    <row r="143" customFormat="false" ht="15" hidden="false" customHeight="false" outlineLevel="0" collapsed="false">
      <c r="A143" s="8" t="n">
        <f aca="false">weather_data!B143</f>
        <v>45901.4791666667</v>
      </c>
      <c r="B143" s="9" t="n">
        <f aca="false">INT(A143)</f>
        <v>45901</v>
      </c>
      <c r="C143" s="10" t="str">
        <f aca="false">TEXT(B143,"yyyy-mm")</f>
        <v>2025-09</v>
      </c>
      <c r="D143" s="10" t="n">
        <f aca="false">MONTH(B143)</f>
        <v>9</v>
      </c>
      <c r="E143" s="10" t="str">
        <f aca="false">TEXT(B143,"mmmm")</f>
        <v>wrzesień</v>
      </c>
      <c r="F143" s="10" t="str">
        <f aca="false">"Q"&amp;ROUNDUP(D143/3,0)</f>
        <v>Q3</v>
      </c>
      <c r="G143" s="10" t="str">
        <f aca="false">IF(OR(D143=12,D143&lt;=2),"Winter",IF(D143&lt;=5,"Spring",IF(D143&lt;=8,"Summer","Autumn")))</f>
        <v>Autumn</v>
      </c>
      <c r="H143" s="11" t="n">
        <f aca="false">weather_data!E143-weather_data!D143</f>
        <v>0.200000000000003</v>
      </c>
      <c r="I143" s="10" t="n">
        <f aca="false">IF(OR(weather_data!H143="light rain",weather_data!H143="moderate rain",weather_data!H143="drizzle",weather_data!H143="thunderstorm"),1,0)</f>
        <v>0</v>
      </c>
      <c r="J143" s="10" t="n">
        <f aca="false">IF(weather_data!I143&gt;=25,1,0)</f>
        <v>0</v>
      </c>
    </row>
    <row r="144" customFormat="false" ht="15" hidden="false" customHeight="false" outlineLevel="0" collapsed="false">
      <c r="A144" s="8" t="n">
        <f aca="false">weather_data!B144</f>
        <v>45902.4444444445</v>
      </c>
      <c r="B144" s="9" t="n">
        <f aca="false">INT(A144)</f>
        <v>45902</v>
      </c>
      <c r="C144" s="10" t="str">
        <f aca="false">TEXT(B144,"yyyy-mm")</f>
        <v>2025-09</v>
      </c>
      <c r="D144" s="10" t="n">
        <f aca="false">MONTH(B144)</f>
        <v>9</v>
      </c>
      <c r="E144" s="10" t="str">
        <f aca="false">TEXT(B144,"mmmm")</f>
        <v>wrzesień</v>
      </c>
      <c r="F144" s="10" t="str">
        <f aca="false">"Q"&amp;ROUNDUP(D144/3,0)</f>
        <v>Q3</v>
      </c>
      <c r="G144" s="10" t="str">
        <f aca="false">IF(OR(D144=12,D144&lt;=2),"Winter",IF(D144&lt;=5,"Spring",IF(D144&lt;=8,"Summer","Autumn")))</f>
        <v>Autumn</v>
      </c>
      <c r="H144" s="11" t="n">
        <f aca="false">weather_data!E144-weather_data!D144</f>
        <v>0.5</v>
      </c>
      <c r="I144" s="10" t="n">
        <f aca="false">IF(OR(weather_data!H144="light rain",weather_data!H144="moderate rain",weather_data!H144="drizzle",weather_data!H144="thunderstorm"),1,0)</f>
        <v>0</v>
      </c>
      <c r="J144" s="10" t="n">
        <f aca="false">IF(weather_data!I144&gt;=25,1,0)</f>
        <v>0</v>
      </c>
    </row>
    <row r="145" customFormat="false" ht="15" hidden="false" customHeight="false" outlineLevel="0" collapsed="false">
      <c r="A145" s="8" t="n">
        <f aca="false">weather_data!B145</f>
        <v>45903.2708333333</v>
      </c>
      <c r="B145" s="9" t="n">
        <f aca="false">INT(A145)</f>
        <v>45903</v>
      </c>
      <c r="C145" s="10" t="str">
        <f aca="false">TEXT(B145,"yyyy-mm")</f>
        <v>2025-09</v>
      </c>
      <c r="D145" s="10" t="n">
        <f aca="false">MONTH(B145)</f>
        <v>9</v>
      </c>
      <c r="E145" s="10" t="str">
        <f aca="false">TEXT(B145,"mmmm")</f>
        <v>wrzesień</v>
      </c>
      <c r="F145" s="10" t="str">
        <f aca="false">"Q"&amp;ROUNDUP(D145/3,0)</f>
        <v>Q3</v>
      </c>
      <c r="G145" s="10" t="str">
        <f aca="false">IF(OR(D145=12,D145&lt;=2),"Winter",IF(D145&lt;=5,"Spring",IF(D145&lt;=8,"Summer","Autumn")))</f>
        <v>Autumn</v>
      </c>
      <c r="H145" s="11" t="n">
        <f aca="false">weather_data!E145-weather_data!D145</f>
        <v>-0.399999999999999</v>
      </c>
      <c r="I145" s="10" t="n">
        <f aca="false">IF(OR(weather_data!H145="light rain",weather_data!H145="moderate rain",weather_data!H145="drizzle",weather_data!H145="thunderstorm"),1,0)</f>
        <v>1</v>
      </c>
      <c r="J145" s="10" t="n">
        <f aca="false">IF(weather_data!I145&gt;=25,1,0)</f>
        <v>0</v>
      </c>
    </row>
    <row r="146" customFormat="false" ht="15" hidden="false" customHeight="false" outlineLevel="0" collapsed="false">
      <c r="A146" s="8" t="n">
        <f aca="false">weather_data!B146</f>
        <v>45904.25</v>
      </c>
      <c r="B146" s="9" t="n">
        <f aca="false">INT(A146)</f>
        <v>45904</v>
      </c>
      <c r="C146" s="10" t="str">
        <f aca="false">TEXT(B146,"yyyy-mm")</f>
        <v>2025-09</v>
      </c>
      <c r="D146" s="10" t="n">
        <f aca="false">MONTH(B146)</f>
        <v>9</v>
      </c>
      <c r="E146" s="10" t="str">
        <f aca="false">TEXT(B146,"mmmm")</f>
        <v>wrzesień</v>
      </c>
      <c r="F146" s="10" t="str">
        <f aca="false">"Q"&amp;ROUNDUP(D146/3,0)</f>
        <v>Q3</v>
      </c>
      <c r="G146" s="10" t="str">
        <f aca="false">IF(OR(D146=12,D146&lt;=2),"Winter",IF(D146&lt;=5,"Spring",IF(D146&lt;=8,"Summer","Autumn")))</f>
        <v>Autumn</v>
      </c>
      <c r="H146" s="11" t="n">
        <f aca="false">weather_data!E146-weather_data!D146</f>
        <v>0.299999999999997</v>
      </c>
      <c r="I146" s="10" t="n">
        <f aca="false">IF(OR(weather_data!H146="light rain",weather_data!H146="moderate rain",weather_data!H146="drizzle",weather_data!H146="thunderstorm"),1,0)</f>
        <v>0</v>
      </c>
      <c r="J146" s="10" t="n">
        <f aca="false">IF(weather_data!I146&gt;=25,1,0)</f>
        <v>0</v>
      </c>
    </row>
    <row r="147" customFormat="false" ht="15" hidden="false" customHeight="false" outlineLevel="0" collapsed="false">
      <c r="A147" s="8" t="n">
        <f aca="false">weather_data!B147</f>
        <v>45905.7986111111</v>
      </c>
      <c r="B147" s="9" t="n">
        <f aca="false">INT(A147)</f>
        <v>45905</v>
      </c>
      <c r="C147" s="10" t="str">
        <f aca="false">TEXT(B147,"yyyy-mm")</f>
        <v>2025-09</v>
      </c>
      <c r="D147" s="10" t="n">
        <f aca="false">MONTH(B147)</f>
        <v>9</v>
      </c>
      <c r="E147" s="10" t="str">
        <f aca="false">TEXT(B147,"mmmm")</f>
        <v>wrzesień</v>
      </c>
      <c r="F147" s="10" t="str">
        <f aca="false">"Q"&amp;ROUNDUP(D147/3,0)</f>
        <v>Q3</v>
      </c>
      <c r="G147" s="10" t="str">
        <f aca="false">IF(OR(D147=12,D147&lt;=2),"Winter",IF(D147&lt;=5,"Spring",IF(D147&lt;=8,"Summer","Autumn")))</f>
        <v>Autumn</v>
      </c>
      <c r="H147" s="11" t="n">
        <f aca="false">weather_data!E147-weather_data!D147</f>
        <v>1.6</v>
      </c>
      <c r="I147" s="10" t="n">
        <f aca="false">IF(OR(weather_data!H147="light rain",weather_data!H147="moderate rain",weather_data!H147="drizzle",weather_data!H147="thunderstorm"),1,0)</f>
        <v>0</v>
      </c>
      <c r="J147" s="10" t="n">
        <f aca="false">IF(weather_data!I147&gt;=25,1,0)</f>
        <v>0</v>
      </c>
    </row>
    <row r="148" customFormat="false" ht="15" hidden="false" customHeight="false" outlineLevel="0" collapsed="false">
      <c r="A148" s="8" t="n">
        <f aca="false">weather_data!B148</f>
        <v>45906.8402777778</v>
      </c>
      <c r="B148" s="9" t="n">
        <f aca="false">INT(A148)</f>
        <v>45906</v>
      </c>
      <c r="C148" s="10" t="str">
        <f aca="false">TEXT(B148,"yyyy-mm")</f>
        <v>2025-09</v>
      </c>
      <c r="D148" s="10" t="n">
        <f aca="false">MONTH(B148)</f>
        <v>9</v>
      </c>
      <c r="E148" s="10" t="str">
        <f aca="false">TEXT(B148,"mmmm")</f>
        <v>wrzesień</v>
      </c>
      <c r="F148" s="10" t="str">
        <f aca="false">"Q"&amp;ROUNDUP(D148/3,0)</f>
        <v>Q3</v>
      </c>
      <c r="G148" s="10" t="str">
        <f aca="false">IF(OR(D148=12,D148&lt;=2),"Winter",IF(D148&lt;=5,"Spring",IF(D148&lt;=8,"Summer","Autumn")))</f>
        <v>Autumn</v>
      </c>
      <c r="H148" s="11" t="n">
        <f aca="false">weather_data!E148-weather_data!D148</f>
        <v>0.399999999999999</v>
      </c>
      <c r="I148" s="10" t="n">
        <f aca="false">IF(OR(weather_data!H148="light rain",weather_data!H148="moderate rain",weather_data!H148="drizzle",weather_data!H148="thunderstorm"),1,0)</f>
        <v>0</v>
      </c>
      <c r="J148" s="10" t="n">
        <f aca="false">IF(weather_data!I148&gt;=25,1,0)</f>
        <v>0</v>
      </c>
    </row>
    <row r="149" customFormat="false" ht="15" hidden="false" customHeight="false" outlineLevel="0" collapsed="false">
      <c r="A149" s="8" t="n">
        <f aca="false">weather_data!B149</f>
        <v>45907.3055555556</v>
      </c>
      <c r="B149" s="9" t="n">
        <f aca="false">INT(A149)</f>
        <v>45907</v>
      </c>
      <c r="C149" s="10" t="str">
        <f aca="false">TEXT(B149,"yyyy-mm")</f>
        <v>2025-09</v>
      </c>
      <c r="D149" s="10" t="n">
        <f aca="false">MONTH(B149)</f>
        <v>9</v>
      </c>
      <c r="E149" s="10" t="str">
        <f aca="false">TEXT(B149,"mmmm")</f>
        <v>wrzesień</v>
      </c>
      <c r="F149" s="10" t="str">
        <f aca="false">"Q"&amp;ROUNDUP(D149/3,0)</f>
        <v>Q3</v>
      </c>
      <c r="G149" s="10" t="str">
        <f aca="false">IF(OR(D149=12,D149&lt;=2),"Winter",IF(D149&lt;=5,"Spring",IF(D149&lt;=8,"Summer","Autumn")))</f>
        <v>Autumn</v>
      </c>
      <c r="H149" s="11" t="n">
        <f aca="false">weather_data!E149-weather_data!D149</f>
        <v>-0.300000000000001</v>
      </c>
      <c r="I149" s="10" t="n">
        <f aca="false">IF(OR(weather_data!H149="light rain",weather_data!H149="moderate rain",weather_data!H149="drizzle",weather_data!H149="thunderstorm"),1,0)</f>
        <v>0</v>
      </c>
      <c r="J149" s="10" t="n">
        <f aca="false">IF(weather_data!I149&gt;=25,1,0)</f>
        <v>0</v>
      </c>
    </row>
    <row r="150" customFormat="false" ht="15" hidden="false" customHeight="false" outlineLevel="0" collapsed="false">
      <c r="A150" s="8" t="n">
        <f aca="false">weather_data!B150</f>
        <v>45908.7638888889</v>
      </c>
      <c r="B150" s="9" t="n">
        <f aca="false">INT(A150)</f>
        <v>45908</v>
      </c>
      <c r="C150" s="10" t="str">
        <f aca="false">TEXT(B150,"yyyy-mm")</f>
        <v>2025-09</v>
      </c>
      <c r="D150" s="10" t="n">
        <f aca="false">MONTH(B150)</f>
        <v>9</v>
      </c>
      <c r="E150" s="10" t="str">
        <f aca="false">TEXT(B150,"mmmm")</f>
        <v>wrzesień</v>
      </c>
      <c r="F150" s="10" t="str">
        <f aca="false">"Q"&amp;ROUNDUP(D150/3,0)</f>
        <v>Q3</v>
      </c>
      <c r="G150" s="10" t="str">
        <f aca="false">IF(OR(D150=12,D150&lt;=2),"Winter",IF(D150&lt;=5,"Spring",IF(D150&lt;=8,"Summer","Autumn")))</f>
        <v>Autumn</v>
      </c>
      <c r="H150" s="11" t="n">
        <f aca="false">weather_data!E150-weather_data!D150</f>
        <v>0.399999999999999</v>
      </c>
      <c r="I150" s="10" t="n">
        <f aca="false">IF(OR(weather_data!H150="light rain",weather_data!H150="moderate rain",weather_data!H150="drizzle",weather_data!H150="thunderstorm"),1,0)</f>
        <v>1</v>
      </c>
      <c r="J150" s="10" t="n">
        <f aca="false">IF(weather_data!I150&gt;=25,1,0)</f>
        <v>0</v>
      </c>
    </row>
    <row r="151" customFormat="false" ht="15" hidden="false" customHeight="false" outlineLevel="0" collapsed="false">
      <c r="A151" s="8" t="n">
        <f aca="false">weather_data!B151</f>
        <v>45909.5208333333</v>
      </c>
      <c r="B151" s="9" t="n">
        <f aca="false">INT(A151)</f>
        <v>45909</v>
      </c>
      <c r="C151" s="10" t="str">
        <f aca="false">TEXT(B151,"yyyy-mm")</f>
        <v>2025-09</v>
      </c>
      <c r="D151" s="10" t="n">
        <f aca="false">MONTH(B151)</f>
        <v>9</v>
      </c>
      <c r="E151" s="10" t="str">
        <f aca="false">TEXT(B151,"mmmm")</f>
        <v>wrzesień</v>
      </c>
      <c r="F151" s="10" t="str">
        <f aca="false">"Q"&amp;ROUNDUP(D151/3,0)</f>
        <v>Q3</v>
      </c>
      <c r="G151" s="10" t="str">
        <f aca="false">IF(OR(D151=12,D151&lt;=2),"Winter",IF(D151&lt;=5,"Spring",IF(D151&lt;=8,"Summer","Autumn")))</f>
        <v>Autumn</v>
      </c>
      <c r="H151" s="11" t="n">
        <f aca="false">weather_data!E151-weather_data!D151</f>
        <v>0.100000000000001</v>
      </c>
      <c r="I151" s="10" t="n">
        <f aca="false">IF(OR(weather_data!H151="light rain",weather_data!H151="moderate rain",weather_data!H151="drizzle",weather_data!H151="thunderstorm"),1,0)</f>
        <v>1</v>
      </c>
      <c r="J151" s="10" t="n">
        <f aca="false">IF(weather_data!I151&gt;=25,1,0)</f>
        <v>0</v>
      </c>
    </row>
    <row r="152" customFormat="false" ht="15" hidden="false" customHeight="false" outlineLevel="0" collapsed="false">
      <c r="A152" s="8" t="n">
        <f aca="false">weather_data!B152</f>
        <v>45910.6805555556</v>
      </c>
      <c r="B152" s="9" t="n">
        <f aca="false">INT(A152)</f>
        <v>45910</v>
      </c>
      <c r="C152" s="10" t="str">
        <f aca="false">TEXT(B152,"yyyy-mm")</f>
        <v>2025-09</v>
      </c>
      <c r="D152" s="10" t="n">
        <f aca="false">MONTH(B152)</f>
        <v>9</v>
      </c>
      <c r="E152" s="10" t="str">
        <f aca="false">TEXT(B152,"mmmm")</f>
        <v>wrzesień</v>
      </c>
      <c r="F152" s="10" t="str">
        <f aca="false">"Q"&amp;ROUNDUP(D152/3,0)</f>
        <v>Q3</v>
      </c>
      <c r="G152" s="10" t="str">
        <f aca="false">IF(OR(D152=12,D152&lt;=2),"Winter",IF(D152&lt;=5,"Spring",IF(D152&lt;=8,"Summer","Autumn")))</f>
        <v>Autumn</v>
      </c>
      <c r="H152" s="11" t="n">
        <f aca="false">weather_data!E152-weather_data!D152</f>
        <v>1.1</v>
      </c>
      <c r="I152" s="10" t="n">
        <f aca="false">IF(OR(weather_data!H152="light rain",weather_data!H152="moderate rain",weather_data!H152="drizzle",weather_data!H152="thunderstorm"),1,0)</f>
        <v>0</v>
      </c>
      <c r="J152" s="10" t="n">
        <f aca="false">IF(weather_data!I152&gt;=25,1,0)</f>
        <v>0</v>
      </c>
    </row>
    <row r="153" customFormat="false" ht="15" hidden="false" customHeight="false" outlineLevel="0" collapsed="false">
      <c r="A153" s="8" t="n">
        <f aca="false">weather_data!B153</f>
        <v>45911.7638888889</v>
      </c>
      <c r="B153" s="9" t="n">
        <f aca="false">INT(A153)</f>
        <v>45911</v>
      </c>
      <c r="C153" s="10" t="str">
        <f aca="false">TEXT(B153,"yyyy-mm")</f>
        <v>2025-09</v>
      </c>
      <c r="D153" s="10" t="n">
        <f aca="false">MONTH(B153)</f>
        <v>9</v>
      </c>
      <c r="E153" s="10" t="str">
        <f aca="false">TEXT(B153,"mmmm")</f>
        <v>wrzesień</v>
      </c>
      <c r="F153" s="10" t="str">
        <f aca="false">"Q"&amp;ROUNDUP(D153/3,0)</f>
        <v>Q3</v>
      </c>
      <c r="G153" s="10" t="str">
        <f aca="false">IF(OR(D153=12,D153&lt;=2),"Winter",IF(D153&lt;=5,"Spring",IF(D153&lt;=8,"Summer","Autumn")))</f>
        <v>Autumn</v>
      </c>
      <c r="H153" s="11" t="n">
        <f aca="false">weather_data!E153-weather_data!D153</f>
        <v>-0.199999999999999</v>
      </c>
      <c r="I153" s="10" t="n">
        <f aca="false">IF(OR(weather_data!H153="light rain",weather_data!H153="moderate rain",weather_data!H153="drizzle",weather_data!H153="thunderstorm"),1,0)</f>
        <v>0</v>
      </c>
      <c r="J153" s="10" t="n">
        <f aca="false">IF(weather_data!I153&gt;=25,1,0)</f>
        <v>0</v>
      </c>
    </row>
    <row r="154" customFormat="false" ht="15" hidden="false" customHeight="false" outlineLevel="0" collapsed="false">
      <c r="A154" s="8" t="n">
        <f aca="false">weather_data!B154</f>
        <v>45912.8055555556</v>
      </c>
      <c r="B154" s="9" t="n">
        <f aca="false">INT(A154)</f>
        <v>45912</v>
      </c>
      <c r="C154" s="10" t="str">
        <f aca="false">TEXT(B154,"yyyy-mm")</f>
        <v>2025-09</v>
      </c>
      <c r="D154" s="10" t="n">
        <f aca="false">MONTH(B154)</f>
        <v>9</v>
      </c>
      <c r="E154" s="10" t="str">
        <f aca="false">TEXT(B154,"mmmm")</f>
        <v>wrzesień</v>
      </c>
      <c r="F154" s="10" t="str">
        <f aca="false">"Q"&amp;ROUNDUP(D154/3,0)</f>
        <v>Q3</v>
      </c>
      <c r="G154" s="10" t="str">
        <f aca="false">IF(OR(D154=12,D154&lt;=2),"Winter",IF(D154&lt;=5,"Spring",IF(D154&lt;=8,"Summer","Autumn")))</f>
        <v>Autumn</v>
      </c>
      <c r="H154" s="11" t="n">
        <f aca="false">weather_data!E154-weather_data!D154</f>
        <v>1.7</v>
      </c>
      <c r="I154" s="10" t="n">
        <f aca="false">IF(OR(weather_data!H154="light rain",weather_data!H154="moderate rain",weather_data!H154="drizzle",weather_data!H154="thunderstorm"),1,0)</f>
        <v>0</v>
      </c>
      <c r="J154" s="10" t="n">
        <f aca="false">IF(weather_data!I154&gt;=25,1,0)</f>
        <v>0</v>
      </c>
    </row>
    <row r="155" customFormat="false" ht="15" hidden="false" customHeight="false" outlineLevel="0" collapsed="false">
      <c r="A155" s="8" t="n">
        <f aca="false">weather_data!B155</f>
        <v>45913.3541666667</v>
      </c>
      <c r="B155" s="9" t="n">
        <f aca="false">INT(A155)</f>
        <v>45913</v>
      </c>
      <c r="C155" s="10" t="str">
        <f aca="false">TEXT(B155,"yyyy-mm")</f>
        <v>2025-09</v>
      </c>
      <c r="D155" s="10" t="n">
        <f aca="false">MONTH(B155)</f>
        <v>9</v>
      </c>
      <c r="E155" s="10" t="str">
        <f aca="false">TEXT(B155,"mmmm")</f>
        <v>wrzesień</v>
      </c>
      <c r="F155" s="10" t="str">
        <f aca="false">"Q"&amp;ROUNDUP(D155/3,0)</f>
        <v>Q3</v>
      </c>
      <c r="G155" s="10" t="str">
        <f aca="false">IF(OR(D155=12,D155&lt;=2),"Winter",IF(D155&lt;=5,"Spring",IF(D155&lt;=8,"Summer","Autumn")))</f>
        <v>Autumn</v>
      </c>
      <c r="H155" s="11" t="n">
        <f aca="false">weather_data!E155-weather_data!D155</f>
        <v>-0.300000000000001</v>
      </c>
      <c r="I155" s="10" t="n">
        <f aca="false">IF(OR(weather_data!H155="light rain",weather_data!H155="moderate rain",weather_data!H155="drizzle",weather_data!H155="thunderstorm"),1,0)</f>
        <v>0</v>
      </c>
      <c r="J155" s="10" t="n">
        <f aca="false">IF(weather_data!I155&gt;=25,1,0)</f>
        <v>0</v>
      </c>
    </row>
    <row r="156" customFormat="false" ht="15" hidden="false" customHeight="false" outlineLevel="0" collapsed="false">
      <c r="A156" s="8" t="n">
        <f aca="false">weather_data!B156</f>
        <v>45914.2847222222</v>
      </c>
      <c r="B156" s="9" t="n">
        <f aca="false">INT(A156)</f>
        <v>45914</v>
      </c>
      <c r="C156" s="10" t="str">
        <f aca="false">TEXT(B156,"yyyy-mm")</f>
        <v>2025-09</v>
      </c>
      <c r="D156" s="10" t="n">
        <f aca="false">MONTH(B156)</f>
        <v>9</v>
      </c>
      <c r="E156" s="10" t="str">
        <f aca="false">TEXT(B156,"mmmm")</f>
        <v>wrzesień</v>
      </c>
      <c r="F156" s="10" t="str">
        <f aca="false">"Q"&amp;ROUNDUP(D156/3,0)</f>
        <v>Q3</v>
      </c>
      <c r="G156" s="10" t="str">
        <f aca="false">IF(OR(D156=12,D156&lt;=2),"Winter",IF(D156&lt;=5,"Spring",IF(D156&lt;=8,"Summer","Autumn")))</f>
        <v>Autumn</v>
      </c>
      <c r="H156" s="11" t="n">
        <f aca="false">weather_data!E156-weather_data!D156</f>
        <v>0.800000000000001</v>
      </c>
      <c r="I156" s="10" t="n">
        <f aca="false">IF(OR(weather_data!H156="light rain",weather_data!H156="moderate rain",weather_data!H156="drizzle",weather_data!H156="thunderstorm"),1,0)</f>
        <v>1</v>
      </c>
      <c r="J156" s="10" t="n">
        <f aca="false">IF(weather_data!I156&gt;=25,1,0)</f>
        <v>1</v>
      </c>
    </row>
    <row r="157" customFormat="false" ht="15" hidden="false" customHeight="false" outlineLevel="0" collapsed="false">
      <c r="A157" s="8" t="n">
        <f aca="false">weather_data!B157</f>
        <v>45915.3055555556</v>
      </c>
      <c r="B157" s="9" t="n">
        <f aca="false">INT(A157)</f>
        <v>45915</v>
      </c>
      <c r="C157" s="10" t="str">
        <f aca="false">TEXT(B157,"yyyy-mm")</f>
        <v>2025-09</v>
      </c>
      <c r="D157" s="10" t="n">
        <f aca="false">MONTH(B157)</f>
        <v>9</v>
      </c>
      <c r="E157" s="10" t="str">
        <f aca="false">TEXT(B157,"mmmm")</f>
        <v>wrzesień</v>
      </c>
      <c r="F157" s="10" t="str">
        <f aca="false">"Q"&amp;ROUNDUP(D157/3,0)</f>
        <v>Q3</v>
      </c>
      <c r="G157" s="10" t="str">
        <f aca="false">IF(OR(D157=12,D157&lt;=2),"Winter",IF(D157&lt;=5,"Spring",IF(D157&lt;=8,"Summer","Autumn")))</f>
        <v>Autumn</v>
      </c>
      <c r="H157" s="11" t="n">
        <f aca="false">weather_data!E157-weather_data!D157</f>
        <v>-0.400000000000002</v>
      </c>
      <c r="I157" s="10" t="n">
        <f aca="false">IF(OR(weather_data!H157="light rain",weather_data!H157="moderate rain",weather_data!H157="drizzle",weather_data!H157="thunderstorm"),1,0)</f>
        <v>0</v>
      </c>
      <c r="J157" s="10" t="n">
        <f aca="false">IF(weather_data!I157&gt;=25,1,0)</f>
        <v>0</v>
      </c>
    </row>
    <row r="158" customFormat="false" ht="15" hidden="false" customHeight="false" outlineLevel="0" collapsed="false">
      <c r="A158" s="8" t="n">
        <f aca="false">weather_data!B158</f>
        <v>45917.5763888889</v>
      </c>
      <c r="B158" s="9" t="n">
        <f aca="false">INT(A158)</f>
        <v>45917</v>
      </c>
      <c r="C158" s="10" t="str">
        <f aca="false">TEXT(B158,"yyyy-mm")</f>
        <v>2025-09</v>
      </c>
      <c r="D158" s="10" t="n">
        <f aca="false">MONTH(B158)</f>
        <v>9</v>
      </c>
      <c r="E158" s="10" t="str">
        <f aca="false">TEXT(B158,"mmmm")</f>
        <v>wrzesień</v>
      </c>
      <c r="F158" s="10" t="str">
        <f aca="false">"Q"&amp;ROUNDUP(D158/3,0)</f>
        <v>Q3</v>
      </c>
      <c r="G158" s="10" t="str">
        <f aca="false">IF(OR(D158=12,D158&lt;=2),"Winter",IF(D158&lt;=5,"Spring",IF(D158&lt;=8,"Summer","Autumn")))</f>
        <v>Autumn</v>
      </c>
      <c r="H158" s="11" t="n">
        <f aca="false">weather_data!E158-weather_data!D158</f>
        <v>1</v>
      </c>
      <c r="I158" s="10" t="n">
        <f aca="false">IF(OR(weather_data!H158="light rain",weather_data!H158="moderate rain",weather_data!H158="drizzle",weather_data!H158="thunderstorm"),1,0)</f>
        <v>0</v>
      </c>
      <c r="J158" s="10" t="n">
        <f aca="false">IF(weather_data!I158&gt;=25,1,0)</f>
        <v>0</v>
      </c>
    </row>
    <row r="159" customFormat="false" ht="15" hidden="false" customHeight="false" outlineLevel="0" collapsed="false">
      <c r="A159" s="8" t="n">
        <f aca="false">weather_data!B159</f>
        <v>45918.3680555556</v>
      </c>
      <c r="B159" s="9" t="n">
        <f aca="false">INT(A159)</f>
        <v>45918</v>
      </c>
      <c r="C159" s="10" t="str">
        <f aca="false">TEXT(B159,"yyyy-mm")</f>
        <v>2025-09</v>
      </c>
      <c r="D159" s="10" t="n">
        <f aca="false">MONTH(B159)</f>
        <v>9</v>
      </c>
      <c r="E159" s="10" t="str">
        <f aca="false">TEXT(B159,"mmmm")</f>
        <v>wrzesień</v>
      </c>
      <c r="F159" s="10" t="str">
        <f aca="false">"Q"&amp;ROUNDUP(D159/3,0)</f>
        <v>Q3</v>
      </c>
      <c r="G159" s="10" t="str">
        <f aca="false">IF(OR(D159=12,D159&lt;=2),"Winter",IF(D159&lt;=5,"Spring",IF(D159&lt;=8,"Summer","Autumn")))</f>
        <v>Autumn</v>
      </c>
      <c r="H159" s="11" t="n">
        <f aca="false">weather_data!E159-weather_data!D159</f>
        <v>-0.800000000000001</v>
      </c>
      <c r="I159" s="10" t="n">
        <f aca="false">IF(OR(weather_data!H159="light rain",weather_data!H159="moderate rain",weather_data!H159="drizzle",weather_data!H159="thunderstorm"),1,0)</f>
        <v>0</v>
      </c>
      <c r="J159" s="10" t="n">
        <f aca="false">IF(weather_data!I159&gt;=25,1,0)</f>
        <v>0</v>
      </c>
    </row>
    <row r="160" customFormat="false" ht="15" hidden="false" customHeight="false" outlineLevel="0" collapsed="false">
      <c r="A160" s="8" t="n">
        <f aca="false">weather_data!B160</f>
        <v>45919.2916666667</v>
      </c>
      <c r="B160" s="9" t="n">
        <f aca="false">INT(A160)</f>
        <v>45919</v>
      </c>
      <c r="C160" s="10" t="str">
        <f aca="false">TEXT(B160,"yyyy-mm")</f>
        <v>2025-09</v>
      </c>
      <c r="D160" s="10" t="n">
        <f aca="false">MONTH(B160)</f>
        <v>9</v>
      </c>
      <c r="E160" s="10" t="str">
        <f aca="false">TEXT(B160,"mmmm")</f>
        <v>wrzesień</v>
      </c>
      <c r="F160" s="10" t="str">
        <f aca="false">"Q"&amp;ROUNDUP(D160/3,0)</f>
        <v>Q3</v>
      </c>
      <c r="G160" s="10" t="str">
        <f aca="false">IF(OR(D160=12,D160&lt;=2),"Winter",IF(D160&lt;=5,"Spring",IF(D160&lt;=8,"Summer","Autumn")))</f>
        <v>Autumn</v>
      </c>
      <c r="H160" s="11" t="n">
        <f aca="false">weather_data!E160-weather_data!D160</f>
        <v>0.600000000000001</v>
      </c>
      <c r="I160" s="10" t="n">
        <f aca="false">IF(OR(weather_data!H160="light rain",weather_data!H160="moderate rain",weather_data!H160="drizzle",weather_data!H160="thunderstorm"),1,0)</f>
        <v>0</v>
      </c>
      <c r="J160" s="10" t="n">
        <f aca="false">IF(weather_data!I160&gt;=25,1,0)</f>
        <v>0</v>
      </c>
    </row>
    <row r="161" customFormat="false" ht="15" hidden="false" customHeight="false" outlineLevel="0" collapsed="false">
      <c r="A161" s="8" t="n">
        <f aca="false">weather_data!B161</f>
        <v>45920.5486111111</v>
      </c>
      <c r="B161" s="9" t="n">
        <f aca="false">INT(A161)</f>
        <v>45920</v>
      </c>
      <c r="C161" s="10" t="str">
        <f aca="false">TEXT(B161,"yyyy-mm")</f>
        <v>2025-09</v>
      </c>
      <c r="D161" s="10" t="n">
        <f aca="false">MONTH(B161)</f>
        <v>9</v>
      </c>
      <c r="E161" s="10" t="str">
        <f aca="false">TEXT(B161,"mmmm")</f>
        <v>wrzesień</v>
      </c>
      <c r="F161" s="10" t="str">
        <f aca="false">"Q"&amp;ROUNDUP(D161/3,0)</f>
        <v>Q3</v>
      </c>
      <c r="G161" s="10" t="str">
        <f aca="false">IF(OR(D161=12,D161&lt;=2),"Winter",IF(D161&lt;=5,"Spring",IF(D161&lt;=8,"Summer","Autumn")))</f>
        <v>Autumn</v>
      </c>
      <c r="H161" s="11" t="n">
        <f aca="false">weather_data!E161-weather_data!D161</f>
        <v>0.300000000000001</v>
      </c>
      <c r="I161" s="10" t="n">
        <f aca="false">IF(OR(weather_data!H161="light rain",weather_data!H161="moderate rain",weather_data!H161="drizzle",weather_data!H161="thunderstorm"),1,0)</f>
        <v>0</v>
      </c>
      <c r="J161" s="10" t="n">
        <f aca="false">IF(weather_data!I161&gt;=25,1,0)</f>
        <v>0</v>
      </c>
    </row>
    <row r="162" customFormat="false" ht="15" hidden="false" customHeight="false" outlineLevel="0" collapsed="false">
      <c r="A162" s="8" t="n">
        <f aca="false">weather_data!B162</f>
        <v>45921.2777777778</v>
      </c>
      <c r="B162" s="9" t="n">
        <f aca="false">INT(A162)</f>
        <v>45921</v>
      </c>
      <c r="C162" s="10" t="str">
        <f aca="false">TEXT(B162,"yyyy-mm")</f>
        <v>2025-09</v>
      </c>
      <c r="D162" s="10" t="n">
        <f aca="false">MONTH(B162)</f>
        <v>9</v>
      </c>
      <c r="E162" s="10" t="str">
        <f aca="false">TEXT(B162,"mmmm")</f>
        <v>wrzesień</v>
      </c>
      <c r="F162" s="10" t="str">
        <f aca="false">"Q"&amp;ROUNDUP(D162/3,0)</f>
        <v>Q3</v>
      </c>
      <c r="G162" s="10" t="str">
        <f aca="false">IF(OR(D162=12,D162&lt;=2),"Winter",IF(D162&lt;=5,"Spring",IF(D162&lt;=8,"Summer","Autumn")))</f>
        <v>Autumn</v>
      </c>
      <c r="H162" s="11" t="n">
        <f aca="false">weather_data!E162-weather_data!D162</f>
        <v>-0.400000000000002</v>
      </c>
      <c r="I162" s="10" t="n">
        <f aca="false">IF(OR(weather_data!H162="light rain",weather_data!H162="moderate rain",weather_data!H162="drizzle",weather_data!H162="thunderstorm"),1,0)</f>
        <v>0</v>
      </c>
      <c r="J162" s="10" t="n">
        <f aca="false">IF(weather_data!I162&gt;=25,1,0)</f>
        <v>0</v>
      </c>
    </row>
    <row r="163" customFormat="false" ht="15" hidden="false" customHeight="false" outlineLevel="0" collapsed="false">
      <c r="A163" s="8" t="n">
        <f aca="false">weather_data!B163</f>
        <v>45922.4236111111</v>
      </c>
      <c r="B163" s="9" t="n">
        <f aca="false">INT(A163)</f>
        <v>45922</v>
      </c>
      <c r="C163" s="10" t="str">
        <f aca="false">TEXT(B163,"yyyy-mm")</f>
        <v>2025-09</v>
      </c>
      <c r="D163" s="10" t="n">
        <f aca="false">MONTH(B163)</f>
        <v>9</v>
      </c>
      <c r="E163" s="10" t="str">
        <f aca="false">TEXT(B163,"mmmm")</f>
        <v>wrzesień</v>
      </c>
      <c r="F163" s="10" t="str">
        <f aca="false">"Q"&amp;ROUNDUP(D163/3,0)</f>
        <v>Q3</v>
      </c>
      <c r="G163" s="10" t="str">
        <f aca="false">IF(OR(D163=12,D163&lt;=2),"Winter",IF(D163&lt;=5,"Spring",IF(D163&lt;=8,"Summer","Autumn")))</f>
        <v>Autumn</v>
      </c>
      <c r="H163" s="11" t="n">
        <f aca="false">weather_data!E163-weather_data!D163</f>
        <v>-1.1</v>
      </c>
      <c r="I163" s="10" t="n">
        <f aca="false">IF(OR(weather_data!H163="light rain",weather_data!H163="moderate rain",weather_data!H163="drizzle",weather_data!H163="thunderstorm"),1,0)</f>
        <v>0</v>
      </c>
      <c r="J163" s="10" t="n">
        <f aca="false">IF(weather_data!I163&gt;=25,1,0)</f>
        <v>0</v>
      </c>
    </row>
    <row r="164" customFormat="false" ht="15" hidden="false" customHeight="false" outlineLevel="0" collapsed="false">
      <c r="A164" s="8" t="n">
        <f aca="false">weather_data!B164</f>
        <v>45923.4375</v>
      </c>
      <c r="B164" s="9" t="n">
        <f aca="false">INT(A164)</f>
        <v>45923</v>
      </c>
      <c r="C164" s="10" t="str">
        <f aca="false">TEXT(B164,"yyyy-mm")</f>
        <v>2025-09</v>
      </c>
      <c r="D164" s="10" t="n">
        <f aca="false">MONTH(B164)</f>
        <v>9</v>
      </c>
      <c r="E164" s="10" t="str">
        <f aca="false">TEXT(B164,"mmmm")</f>
        <v>wrzesień</v>
      </c>
      <c r="F164" s="10" t="str">
        <f aca="false">"Q"&amp;ROUNDUP(D164/3,0)</f>
        <v>Q3</v>
      </c>
      <c r="G164" s="10" t="str">
        <f aca="false">IF(OR(D164=12,D164&lt;=2),"Winter",IF(D164&lt;=5,"Spring",IF(D164&lt;=8,"Summer","Autumn")))</f>
        <v>Autumn</v>
      </c>
      <c r="H164" s="11" t="n">
        <f aca="false">weather_data!E164-weather_data!D164</f>
        <v>0.199999999999999</v>
      </c>
      <c r="I164" s="10" t="n">
        <f aca="false">IF(OR(weather_data!H164="light rain",weather_data!H164="moderate rain",weather_data!H164="drizzle",weather_data!H164="thunderstorm"),1,0)</f>
        <v>0</v>
      </c>
      <c r="J164" s="10" t="n">
        <f aca="false">IF(weather_data!I164&gt;=25,1,0)</f>
        <v>0</v>
      </c>
    </row>
    <row r="165" customFormat="false" ht="15" hidden="false" customHeight="false" outlineLevel="0" collapsed="false">
      <c r="A165" s="8" t="n">
        <f aca="false">weather_data!B165</f>
        <v>45924.4027777778</v>
      </c>
      <c r="B165" s="9" t="n">
        <f aca="false">INT(A165)</f>
        <v>45924</v>
      </c>
      <c r="C165" s="10" t="str">
        <f aca="false">TEXT(B165,"yyyy-mm")</f>
        <v>2025-09</v>
      </c>
      <c r="D165" s="10" t="n">
        <f aca="false">MONTH(B165)</f>
        <v>9</v>
      </c>
      <c r="E165" s="10" t="str">
        <f aca="false">TEXT(B165,"mmmm")</f>
        <v>wrzesień</v>
      </c>
      <c r="F165" s="10" t="str">
        <f aca="false">"Q"&amp;ROUNDUP(D165/3,0)</f>
        <v>Q3</v>
      </c>
      <c r="G165" s="10" t="str">
        <f aca="false">IF(OR(D165=12,D165&lt;=2),"Winter",IF(D165&lt;=5,"Spring",IF(D165&lt;=8,"Summer","Autumn")))</f>
        <v>Autumn</v>
      </c>
      <c r="H165" s="11" t="n">
        <f aca="false">weather_data!E165-weather_data!D165</f>
        <v>-0.399999999999999</v>
      </c>
      <c r="I165" s="10" t="n">
        <f aca="false">IF(OR(weather_data!H165="light rain",weather_data!H165="moderate rain",weather_data!H165="drizzle",weather_data!H165="thunderstorm"),1,0)</f>
        <v>0</v>
      </c>
      <c r="J165" s="10" t="n">
        <f aca="false">IF(weather_data!I165&gt;=25,1,0)</f>
        <v>0</v>
      </c>
    </row>
    <row r="166" customFormat="false" ht="15" hidden="false" customHeight="false" outlineLevel="0" collapsed="false">
      <c r="A166" s="8" t="n">
        <f aca="false">weather_data!B166</f>
        <v>45925.5208333333</v>
      </c>
      <c r="B166" s="9" t="n">
        <f aca="false">INT(A166)</f>
        <v>45925</v>
      </c>
      <c r="C166" s="10" t="str">
        <f aca="false">TEXT(B166,"yyyy-mm")</f>
        <v>2025-09</v>
      </c>
      <c r="D166" s="10" t="n">
        <f aca="false">MONTH(B166)</f>
        <v>9</v>
      </c>
      <c r="E166" s="10" t="str">
        <f aca="false">TEXT(B166,"mmmm")</f>
        <v>wrzesień</v>
      </c>
      <c r="F166" s="10" t="str">
        <f aca="false">"Q"&amp;ROUNDUP(D166/3,0)</f>
        <v>Q3</v>
      </c>
      <c r="G166" s="10" t="str">
        <f aca="false">IF(OR(D166=12,D166&lt;=2),"Winter",IF(D166&lt;=5,"Spring",IF(D166&lt;=8,"Summer","Autumn")))</f>
        <v>Autumn</v>
      </c>
      <c r="H166" s="11" t="n">
        <f aca="false">weather_data!E166-weather_data!D166</f>
        <v>0</v>
      </c>
      <c r="I166" s="10" t="n">
        <f aca="false">IF(OR(weather_data!H166="light rain",weather_data!H166="moderate rain",weather_data!H166="drizzle",weather_data!H166="thunderstorm"),1,0)</f>
        <v>0</v>
      </c>
      <c r="J166" s="10" t="n">
        <f aca="false">IF(weather_data!I166&gt;=25,1,0)</f>
        <v>0</v>
      </c>
    </row>
    <row r="167" customFormat="false" ht="15" hidden="false" customHeight="false" outlineLevel="0" collapsed="false">
      <c r="A167" s="8" t="n">
        <f aca="false">weather_data!B167</f>
        <v>45926.5972222222</v>
      </c>
      <c r="B167" s="9" t="n">
        <f aca="false">INT(A167)</f>
        <v>45926</v>
      </c>
      <c r="C167" s="10" t="str">
        <f aca="false">TEXT(B167,"yyyy-mm")</f>
        <v>2025-09</v>
      </c>
      <c r="D167" s="10" t="n">
        <f aca="false">MONTH(B167)</f>
        <v>9</v>
      </c>
      <c r="E167" s="10" t="str">
        <f aca="false">TEXT(B167,"mmmm")</f>
        <v>wrzesień</v>
      </c>
      <c r="F167" s="10" t="str">
        <f aca="false">"Q"&amp;ROUNDUP(D167/3,0)</f>
        <v>Q3</v>
      </c>
      <c r="G167" s="10" t="str">
        <f aca="false">IF(OR(D167=12,D167&lt;=2),"Winter",IF(D167&lt;=5,"Spring",IF(D167&lt;=8,"Summer","Autumn")))</f>
        <v>Autumn</v>
      </c>
      <c r="H167" s="11" t="n">
        <f aca="false">weather_data!E167-weather_data!D167</f>
        <v>-0.800000000000001</v>
      </c>
      <c r="I167" s="10" t="n">
        <f aca="false">IF(OR(weather_data!H167="light rain",weather_data!H167="moderate rain",weather_data!H167="drizzle",weather_data!H167="thunderstorm"),1,0)</f>
        <v>0</v>
      </c>
      <c r="J167" s="10" t="n">
        <f aca="false">IF(weather_data!I167&gt;=25,1,0)</f>
        <v>0</v>
      </c>
    </row>
    <row r="168" customFormat="false" ht="15" hidden="false" customHeight="false" outlineLevel="0" collapsed="false">
      <c r="A168" s="8" t="n">
        <f aca="false">weather_data!B168</f>
        <v>45927.4861111111</v>
      </c>
      <c r="B168" s="9" t="n">
        <f aca="false">INT(A168)</f>
        <v>45927</v>
      </c>
      <c r="C168" s="10" t="str">
        <f aca="false">TEXT(B168,"yyyy-mm")</f>
        <v>2025-09</v>
      </c>
      <c r="D168" s="10" t="n">
        <f aca="false">MONTH(B168)</f>
        <v>9</v>
      </c>
      <c r="E168" s="10" t="str">
        <f aca="false">TEXT(B168,"mmmm")</f>
        <v>wrzesień</v>
      </c>
      <c r="F168" s="10" t="str">
        <f aca="false">"Q"&amp;ROUNDUP(D168/3,0)</f>
        <v>Q3</v>
      </c>
      <c r="G168" s="10" t="str">
        <f aca="false">IF(OR(D168=12,D168&lt;=2),"Winter",IF(D168&lt;=5,"Spring",IF(D168&lt;=8,"Summer","Autumn")))</f>
        <v>Autumn</v>
      </c>
      <c r="H168" s="11" t="n">
        <f aca="false">weather_data!E168-weather_data!D168</f>
        <v>0.599999999999998</v>
      </c>
      <c r="I168" s="10" t="n">
        <f aca="false">IF(OR(weather_data!H168="light rain",weather_data!H168="moderate rain",weather_data!H168="drizzle",weather_data!H168="thunderstorm"),1,0)</f>
        <v>0</v>
      </c>
      <c r="J168" s="10" t="n">
        <f aca="false">IF(weather_data!I168&gt;=25,1,0)</f>
        <v>0</v>
      </c>
    </row>
    <row r="169" customFormat="false" ht="15" hidden="false" customHeight="false" outlineLevel="0" collapsed="false">
      <c r="A169" s="8" t="n">
        <f aca="false">weather_data!B169</f>
        <v>45928.3819444445</v>
      </c>
      <c r="B169" s="9" t="n">
        <f aca="false">INT(A169)</f>
        <v>45928</v>
      </c>
      <c r="C169" s="10" t="str">
        <f aca="false">TEXT(B169,"yyyy-mm")</f>
        <v>2025-09</v>
      </c>
      <c r="D169" s="10" t="n">
        <f aca="false">MONTH(B169)</f>
        <v>9</v>
      </c>
      <c r="E169" s="10" t="str">
        <f aca="false">TEXT(B169,"mmmm")</f>
        <v>wrzesień</v>
      </c>
      <c r="F169" s="10" t="str">
        <f aca="false">"Q"&amp;ROUNDUP(D169/3,0)</f>
        <v>Q3</v>
      </c>
      <c r="G169" s="10" t="str">
        <f aca="false">IF(OR(D169=12,D169&lt;=2),"Winter",IF(D169&lt;=5,"Spring",IF(D169&lt;=8,"Summer","Autumn")))</f>
        <v>Autumn</v>
      </c>
      <c r="H169" s="11" t="n">
        <f aca="false">weather_data!E169-weather_data!D169</f>
        <v>0.5</v>
      </c>
      <c r="I169" s="10" t="n">
        <f aca="false">IF(OR(weather_data!H169="light rain",weather_data!H169="moderate rain",weather_data!H169="drizzle",weather_data!H169="thunderstorm"),1,0)</f>
        <v>0</v>
      </c>
      <c r="J169" s="10" t="n">
        <f aca="false">IF(weather_data!I169&gt;=25,1,0)</f>
        <v>0</v>
      </c>
    </row>
    <row r="170" customFormat="false" ht="15" hidden="false" customHeight="false" outlineLevel="0" collapsed="false">
      <c r="A170" s="8" t="n">
        <f aca="false">weather_data!B170</f>
        <v>45929.625</v>
      </c>
      <c r="B170" s="9" t="n">
        <f aca="false">INT(A170)</f>
        <v>45929</v>
      </c>
      <c r="C170" s="10" t="str">
        <f aca="false">TEXT(B170,"yyyy-mm")</f>
        <v>2025-09</v>
      </c>
      <c r="D170" s="10" t="n">
        <f aca="false">MONTH(B170)</f>
        <v>9</v>
      </c>
      <c r="E170" s="10" t="str">
        <f aca="false">TEXT(B170,"mmmm")</f>
        <v>wrzesień</v>
      </c>
      <c r="F170" s="10" t="str">
        <f aca="false">"Q"&amp;ROUNDUP(D170/3,0)</f>
        <v>Q3</v>
      </c>
      <c r="G170" s="10" t="str">
        <f aca="false">IF(OR(D170=12,D170&lt;=2),"Winter",IF(D170&lt;=5,"Spring",IF(D170&lt;=8,"Summer","Autumn")))</f>
        <v>Autumn</v>
      </c>
      <c r="H170" s="11" t="n">
        <f aca="false">weather_data!E170-weather_data!D170</f>
        <v>1.1</v>
      </c>
      <c r="I170" s="10" t="n">
        <f aca="false">IF(OR(weather_data!H170="light rain",weather_data!H170="moderate rain",weather_data!H170="drizzle",weather_data!H170="thunderstorm"),1,0)</f>
        <v>0</v>
      </c>
      <c r="J170" s="10" t="n">
        <f aca="false">IF(weather_data!I170&gt;=25,1,0)</f>
        <v>0</v>
      </c>
    </row>
    <row r="171" customFormat="false" ht="15" hidden="false" customHeight="false" outlineLevel="0" collapsed="false">
      <c r="A171" s="8" t="n">
        <f aca="false">weather_data!B171</f>
        <v>45930.2638888889</v>
      </c>
      <c r="B171" s="9" t="n">
        <f aca="false">INT(A171)</f>
        <v>45930</v>
      </c>
      <c r="C171" s="10" t="str">
        <f aca="false">TEXT(B171,"yyyy-mm")</f>
        <v>2025-09</v>
      </c>
      <c r="D171" s="10" t="n">
        <f aca="false">MONTH(B171)</f>
        <v>9</v>
      </c>
      <c r="E171" s="10" t="str">
        <f aca="false">TEXT(B171,"mmmm")</f>
        <v>wrzesień</v>
      </c>
      <c r="F171" s="10" t="str">
        <f aca="false">"Q"&amp;ROUNDUP(D171/3,0)</f>
        <v>Q3</v>
      </c>
      <c r="G171" s="10" t="str">
        <f aca="false">IF(OR(D171=12,D171&lt;=2),"Winter",IF(D171&lt;=5,"Spring",IF(D171&lt;=8,"Summer","Autumn")))</f>
        <v>Autumn</v>
      </c>
      <c r="H171" s="11" t="n">
        <f aca="false">weather_data!E171-weather_data!D171</f>
        <v>-0.300000000000001</v>
      </c>
      <c r="I171" s="10" t="n">
        <f aca="false">IF(OR(weather_data!H171="light rain",weather_data!H171="moderate rain",weather_data!H171="drizzle",weather_data!H171="thunderstorm"),1,0)</f>
        <v>0</v>
      </c>
      <c r="J171" s="10" t="n">
        <f aca="false">IF(weather_data!I171&gt;=25,1,0)</f>
        <v>1</v>
      </c>
    </row>
    <row r="172" customFormat="false" ht="15" hidden="false" customHeight="false" outlineLevel="0" collapsed="false">
      <c r="A172" s="8" t="n">
        <f aca="false">weather_data!B172</f>
        <v>45931.7708333333</v>
      </c>
      <c r="B172" s="9" t="n">
        <f aca="false">INT(A172)</f>
        <v>45931</v>
      </c>
      <c r="C172" s="10" t="str">
        <f aca="false">TEXT(B172,"yyyy-mm")</f>
        <v>2025-10</v>
      </c>
      <c r="D172" s="10" t="n">
        <f aca="false">MONTH(B172)</f>
        <v>10</v>
      </c>
      <c r="E172" s="10" t="str">
        <f aca="false">TEXT(B172,"mmmm")</f>
        <v>październik</v>
      </c>
      <c r="F172" s="10" t="str">
        <f aca="false">"Q"&amp;ROUNDUP(D172/3,0)</f>
        <v>Q4</v>
      </c>
      <c r="G172" s="10" t="str">
        <f aca="false">IF(OR(D172=12,D172&lt;=2),"Winter",IF(D172&lt;=5,"Spring",IF(D172&lt;=8,"Summer","Autumn")))</f>
        <v>Autumn</v>
      </c>
      <c r="H172" s="11" t="n">
        <f aca="false">weather_data!E172-weather_data!D172</f>
        <v>0.399999999999999</v>
      </c>
      <c r="I172" s="10" t="n">
        <f aca="false">IF(OR(weather_data!H172="light rain",weather_data!H172="moderate rain",weather_data!H172="drizzle",weather_data!H172="thunderstorm"),1,0)</f>
        <v>0</v>
      </c>
      <c r="J172" s="10" t="n">
        <f aca="false">IF(weather_data!I172&gt;=25,1,0)</f>
        <v>0</v>
      </c>
    </row>
    <row r="173" customFormat="false" ht="15" hidden="false" customHeight="false" outlineLevel="0" collapsed="false">
      <c r="A173" s="8" t="n">
        <f aca="false">weather_data!B173</f>
        <v>45932.5</v>
      </c>
      <c r="B173" s="9" t="n">
        <f aca="false">INT(A173)</f>
        <v>45932</v>
      </c>
      <c r="C173" s="10" t="str">
        <f aca="false">TEXT(B173,"yyyy-mm")</f>
        <v>2025-10</v>
      </c>
      <c r="D173" s="10" t="n">
        <f aca="false">MONTH(B173)</f>
        <v>10</v>
      </c>
      <c r="E173" s="10" t="str">
        <f aca="false">TEXT(B173,"mmmm")</f>
        <v>październik</v>
      </c>
      <c r="F173" s="10" t="str">
        <f aca="false">"Q"&amp;ROUNDUP(D173/3,0)</f>
        <v>Q4</v>
      </c>
      <c r="G173" s="10" t="str">
        <f aca="false">IF(OR(D173=12,D173&lt;=2),"Winter",IF(D173&lt;=5,"Spring",IF(D173&lt;=8,"Summer","Autumn")))</f>
        <v>Autumn</v>
      </c>
      <c r="H173" s="11" t="n">
        <f aca="false">weather_data!E173-weather_data!D173</f>
        <v>-0.699999999999999</v>
      </c>
      <c r="I173" s="10" t="n">
        <f aca="false">IF(OR(weather_data!H173="light rain",weather_data!H173="moderate rain",weather_data!H173="drizzle",weather_data!H173="thunderstorm"),1,0)</f>
        <v>0</v>
      </c>
      <c r="J173" s="10" t="n">
        <f aca="false">IF(weather_data!I173&gt;=25,1,0)</f>
        <v>0</v>
      </c>
    </row>
    <row r="174" customFormat="false" ht="15" hidden="false" customHeight="false" outlineLevel="0" collapsed="false">
      <c r="A174" s="8" t="n">
        <f aca="false">weather_data!B174</f>
        <v>45933.5416666667</v>
      </c>
      <c r="B174" s="9" t="n">
        <f aca="false">INT(A174)</f>
        <v>45933</v>
      </c>
      <c r="C174" s="10" t="str">
        <f aca="false">TEXT(B174,"yyyy-mm")</f>
        <v>2025-10</v>
      </c>
      <c r="D174" s="10" t="n">
        <f aca="false">MONTH(B174)</f>
        <v>10</v>
      </c>
      <c r="E174" s="10" t="str">
        <f aca="false">TEXT(B174,"mmmm")</f>
        <v>październik</v>
      </c>
      <c r="F174" s="10" t="str">
        <f aca="false">"Q"&amp;ROUNDUP(D174/3,0)</f>
        <v>Q4</v>
      </c>
      <c r="G174" s="10" t="str">
        <f aca="false">IF(OR(D174=12,D174&lt;=2),"Winter",IF(D174&lt;=5,"Spring",IF(D174&lt;=8,"Summer","Autumn")))</f>
        <v>Autumn</v>
      </c>
      <c r="H174" s="11" t="n">
        <f aca="false">weather_data!E174-weather_data!D174</f>
        <v>0.800000000000001</v>
      </c>
      <c r="I174" s="10" t="n">
        <f aca="false">IF(OR(weather_data!H174="light rain",weather_data!H174="moderate rain",weather_data!H174="drizzle",weather_data!H174="thunderstorm"),1,0)</f>
        <v>1</v>
      </c>
      <c r="J174" s="10" t="n">
        <f aca="false">IF(weather_data!I174&gt;=25,1,0)</f>
        <v>0</v>
      </c>
    </row>
    <row r="175" customFormat="false" ht="15" hidden="false" customHeight="false" outlineLevel="0" collapsed="false">
      <c r="A175" s="8" t="n">
        <f aca="false">weather_data!B175</f>
        <v>45934.6597222222</v>
      </c>
      <c r="B175" s="9" t="n">
        <f aca="false">INT(A175)</f>
        <v>45934</v>
      </c>
      <c r="C175" s="10" t="str">
        <f aca="false">TEXT(B175,"yyyy-mm")</f>
        <v>2025-10</v>
      </c>
      <c r="D175" s="10" t="n">
        <f aca="false">MONTH(B175)</f>
        <v>10</v>
      </c>
      <c r="E175" s="10" t="str">
        <f aca="false">TEXT(B175,"mmmm")</f>
        <v>październik</v>
      </c>
      <c r="F175" s="10" t="str">
        <f aca="false">"Q"&amp;ROUNDUP(D175/3,0)</f>
        <v>Q4</v>
      </c>
      <c r="G175" s="10" t="str">
        <f aca="false">IF(OR(D175=12,D175&lt;=2),"Winter",IF(D175&lt;=5,"Spring",IF(D175&lt;=8,"Summer","Autumn")))</f>
        <v>Autumn</v>
      </c>
      <c r="H175" s="11" t="n">
        <f aca="false">weather_data!E175-weather_data!D175</f>
        <v>0.699999999999999</v>
      </c>
      <c r="I175" s="10" t="n">
        <f aca="false">IF(OR(weather_data!H175="light rain",weather_data!H175="moderate rain",weather_data!H175="drizzle",weather_data!H175="thunderstorm"),1,0)</f>
        <v>1</v>
      </c>
      <c r="J175" s="10" t="n">
        <f aca="false">IF(weather_data!I175&gt;=25,1,0)</f>
        <v>1</v>
      </c>
    </row>
    <row r="176" customFormat="false" ht="15" hidden="false" customHeight="false" outlineLevel="0" collapsed="false">
      <c r="A176" s="8" t="n">
        <f aca="false">weather_data!B176</f>
        <v>45935.4027777778</v>
      </c>
      <c r="B176" s="9" t="n">
        <f aca="false">INT(A176)</f>
        <v>45935</v>
      </c>
      <c r="C176" s="10" t="str">
        <f aca="false">TEXT(B176,"yyyy-mm")</f>
        <v>2025-10</v>
      </c>
      <c r="D176" s="10" t="n">
        <f aca="false">MONTH(B176)</f>
        <v>10</v>
      </c>
      <c r="E176" s="10" t="str">
        <f aca="false">TEXT(B176,"mmmm")</f>
        <v>październik</v>
      </c>
      <c r="F176" s="10" t="str">
        <f aca="false">"Q"&amp;ROUNDUP(D176/3,0)</f>
        <v>Q4</v>
      </c>
      <c r="G176" s="10" t="str">
        <f aca="false">IF(OR(D176=12,D176&lt;=2),"Winter",IF(D176&lt;=5,"Spring",IF(D176&lt;=8,"Summer","Autumn")))</f>
        <v>Autumn</v>
      </c>
      <c r="H176" s="11" t="n">
        <f aca="false">weather_data!E176-weather_data!D176</f>
        <v>-0.700000000000003</v>
      </c>
      <c r="I176" s="10" t="n">
        <f aca="false">IF(OR(weather_data!H176="light rain",weather_data!H176="moderate rain",weather_data!H176="drizzle",weather_data!H176="thunderstorm"),1,0)</f>
        <v>1</v>
      </c>
      <c r="J176" s="10" t="n">
        <f aca="false">IF(weather_data!I176&gt;=25,1,0)</f>
        <v>0</v>
      </c>
    </row>
    <row r="177" customFormat="false" ht="15" hidden="false" customHeight="false" outlineLevel="0" collapsed="false">
      <c r="A177" s="8" t="n">
        <f aca="false">weather_data!B177</f>
        <v>45936.3055555556</v>
      </c>
      <c r="B177" s="9" t="n">
        <f aca="false">INT(A177)</f>
        <v>45936</v>
      </c>
      <c r="C177" s="10" t="str">
        <f aca="false">TEXT(B177,"yyyy-mm")</f>
        <v>2025-10</v>
      </c>
      <c r="D177" s="10" t="n">
        <f aca="false">MONTH(B177)</f>
        <v>10</v>
      </c>
      <c r="E177" s="10" t="str">
        <f aca="false">TEXT(B177,"mmmm")</f>
        <v>październik</v>
      </c>
      <c r="F177" s="10" t="str">
        <f aca="false">"Q"&amp;ROUNDUP(D177/3,0)</f>
        <v>Q4</v>
      </c>
      <c r="G177" s="10" t="str">
        <f aca="false">IF(OR(D177=12,D177&lt;=2),"Winter",IF(D177&lt;=5,"Spring",IF(D177&lt;=8,"Summer","Autumn")))</f>
        <v>Autumn</v>
      </c>
      <c r="H177" s="11" t="n">
        <f aca="false">weather_data!E177-weather_data!D177</f>
        <v>0.100000000000001</v>
      </c>
      <c r="I177" s="10" t="n">
        <f aca="false">IF(OR(weather_data!H177="light rain",weather_data!H177="moderate rain",weather_data!H177="drizzle",weather_data!H177="thunderstorm"),1,0)</f>
        <v>1</v>
      </c>
      <c r="J177" s="10" t="n">
        <f aca="false">IF(weather_data!I177&gt;=25,1,0)</f>
        <v>0</v>
      </c>
    </row>
    <row r="178" customFormat="false" ht="15" hidden="false" customHeight="false" outlineLevel="0" collapsed="false">
      <c r="A178" s="8" t="n">
        <f aca="false">weather_data!B178</f>
        <v>45937.8263888889</v>
      </c>
      <c r="B178" s="9" t="n">
        <f aca="false">INT(A178)</f>
        <v>45937</v>
      </c>
      <c r="C178" s="10" t="str">
        <f aca="false">TEXT(B178,"yyyy-mm")</f>
        <v>2025-10</v>
      </c>
      <c r="D178" s="10" t="n">
        <f aca="false">MONTH(B178)</f>
        <v>10</v>
      </c>
      <c r="E178" s="10" t="str">
        <f aca="false">TEXT(B178,"mmmm")</f>
        <v>październik</v>
      </c>
      <c r="F178" s="10" t="str">
        <f aca="false">"Q"&amp;ROUNDUP(D178/3,0)</f>
        <v>Q4</v>
      </c>
      <c r="G178" s="10" t="str">
        <f aca="false">IF(OR(D178=12,D178&lt;=2),"Winter",IF(D178&lt;=5,"Spring",IF(D178&lt;=8,"Summer","Autumn")))</f>
        <v>Autumn</v>
      </c>
      <c r="H178" s="11" t="n">
        <f aca="false">weather_data!E178-weather_data!D178</f>
        <v>0.399999999999999</v>
      </c>
      <c r="I178" s="10" t="n">
        <f aca="false">IF(OR(weather_data!H178="light rain",weather_data!H178="moderate rain",weather_data!H178="drizzle",weather_data!H178="thunderstorm"),1,0)</f>
        <v>0</v>
      </c>
      <c r="J178" s="10" t="n">
        <f aca="false">IF(weather_data!I178&gt;=25,1,0)</f>
        <v>0</v>
      </c>
    </row>
    <row r="179" customFormat="false" ht="15" hidden="false" customHeight="false" outlineLevel="0" collapsed="false">
      <c r="A179" s="8" t="n">
        <f aca="false">weather_data!B179</f>
        <v>45938.7083333333</v>
      </c>
      <c r="B179" s="9" t="n">
        <f aca="false">INT(A179)</f>
        <v>45938</v>
      </c>
      <c r="C179" s="10" t="str">
        <f aca="false">TEXT(B179,"yyyy-mm")</f>
        <v>2025-10</v>
      </c>
      <c r="D179" s="10" t="n">
        <f aca="false">MONTH(B179)</f>
        <v>10</v>
      </c>
      <c r="E179" s="10" t="str">
        <f aca="false">TEXT(B179,"mmmm")</f>
        <v>październik</v>
      </c>
      <c r="F179" s="10" t="str">
        <f aca="false">"Q"&amp;ROUNDUP(D179/3,0)</f>
        <v>Q4</v>
      </c>
      <c r="G179" s="10" t="str">
        <f aca="false">IF(OR(D179=12,D179&lt;=2),"Winter",IF(D179&lt;=5,"Spring",IF(D179&lt;=8,"Summer","Autumn")))</f>
        <v>Autumn</v>
      </c>
      <c r="H179" s="11" t="n">
        <f aca="false">weather_data!E179-weather_data!D179</f>
        <v>-0.5</v>
      </c>
      <c r="I179" s="10" t="n">
        <f aca="false">IF(OR(weather_data!H179="light rain",weather_data!H179="moderate rain",weather_data!H179="drizzle",weather_data!H179="thunderstorm"),1,0)</f>
        <v>0</v>
      </c>
      <c r="J179" s="10" t="n">
        <f aca="false">IF(weather_data!I179&gt;=25,1,0)</f>
        <v>0</v>
      </c>
    </row>
    <row r="180" customFormat="false" ht="15" hidden="false" customHeight="false" outlineLevel="0" collapsed="false">
      <c r="A180" s="8" t="n">
        <f aca="false">weather_data!B180</f>
        <v>45939.6666666667</v>
      </c>
      <c r="B180" s="9" t="n">
        <f aca="false">INT(A180)</f>
        <v>45939</v>
      </c>
      <c r="C180" s="10" t="str">
        <f aca="false">TEXT(B180,"yyyy-mm")</f>
        <v>2025-10</v>
      </c>
      <c r="D180" s="10" t="n">
        <f aca="false">MONTH(B180)</f>
        <v>10</v>
      </c>
      <c r="E180" s="10" t="str">
        <f aca="false">TEXT(B180,"mmmm")</f>
        <v>październik</v>
      </c>
      <c r="F180" s="10" t="str">
        <f aca="false">"Q"&amp;ROUNDUP(D180/3,0)</f>
        <v>Q4</v>
      </c>
      <c r="G180" s="10" t="str">
        <f aca="false">IF(OR(D180=12,D180&lt;=2),"Winter",IF(D180&lt;=5,"Spring",IF(D180&lt;=8,"Summer","Autumn")))</f>
        <v>Autumn</v>
      </c>
      <c r="H180" s="11" t="n">
        <f aca="false">weather_data!E180-weather_data!D180</f>
        <v>-0.300000000000001</v>
      </c>
      <c r="I180" s="10" t="n">
        <f aca="false">IF(OR(weather_data!H180="light rain",weather_data!H180="moderate rain",weather_data!H180="drizzle",weather_data!H180="thunderstorm"),1,0)</f>
        <v>1</v>
      </c>
      <c r="J180" s="10" t="n">
        <f aca="false">IF(weather_data!I180&gt;=25,1,0)</f>
        <v>1</v>
      </c>
    </row>
    <row r="181" customFormat="false" ht="15" hidden="false" customHeight="false" outlineLevel="0" collapsed="false">
      <c r="A181" s="8" t="n">
        <f aca="false">weather_data!B181</f>
        <v>45940.8125</v>
      </c>
      <c r="B181" s="9" t="n">
        <f aca="false">INT(A181)</f>
        <v>45940</v>
      </c>
      <c r="C181" s="10" t="str">
        <f aca="false">TEXT(B181,"yyyy-mm")</f>
        <v>2025-10</v>
      </c>
      <c r="D181" s="10" t="n">
        <f aca="false">MONTH(B181)</f>
        <v>10</v>
      </c>
      <c r="E181" s="10" t="str">
        <f aca="false">TEXT(B181,"mmmm")</f>
        <v>październik</v>
      </c>
      <c r="F181" s="10" t="str">
        <f aca="false">"Q"&amp;ROUNDUP(D181/3,0)</f>
        <v>Q4</v>
      </c>
      <c r="G181" s="10" t="str">
        <f aca="false">IF(OR(D181=12,D181&lt;=2),"Winter",IF(D181&lt;=5,"Spring",IF(D181&lt;=8,"Summer","Autumn")))</f>
        <v>Autumn</v>
      </c>
      <c r="H181" s="11" t="n">
        <f aca="false">weather_data!E181-weather_data!D181</f>
        <v>-1</v>
      </c>
      <c r="I181" s="10" t="n">
        <f aca="false">IF(OR(weather_data!H181="light rain",weather_data!H181="moderate rain",weather_data!H181="drizzle",weather_data!H181="thunderstorm"),1,0)</f>
        <v>0</v>
      </c>
      <c r="J181" s="10" t="n">
        <f aca="false">IF(weather_data!I181&gt;=25,1,0)</f>
        <v>0</v>
      </c>
    </row>
    <row r="182" customFormat="false" ht="15" hidden="false" customHeight="false" outlineLevel="0" collapsed="false">
      <c r="A182" s="8" t="n">
        <f aca="false">weather_data!B182</f>
        <v>45941.3958333333</v>
      </c>
      <c r="B182" s="9" t="n">
        <f aca="false">INT(A182)</f>
        <v>45941</v>
      </c>
      <c r="C182" s="10" t="str">
        <f aca="false">TEXT(B182,"yyyy-mm")</f>
        <v>2025-10</v>
      </c>
      <c r="D182" s="10" t="n">
        <f aca="false">MONTH(B182)</f>
        <v>10</v>
      </c>
      <c r="E182" s="10" t="str">
        <f aca="false">TEXT(B182,"mmmm")</f>
        <v>październik</v>
      </c>
      <c r="F182" s="10" t="str">
        <f aca="false">"Q"&amp;ROUNDUP(D182/3,0)</f>
        <v>Q4</v>
      </c>
      <c r="G182" s="10" t="str">
        <f aca="false">IF(OR(D182=12,D182&lt;=2),"Winter",IF(D182&lt;=5,"Spring",IF(D182&lt;=8,"Summer","Autumn")))</f>
        <v>Autumn</v>
      </c>
      <c r="H182" s="11" t="n">
        <f aca="false">weather_data!E182-weather_data!D182</f>
        <v>0.600000000000001</v>
      </c>
      <c r="I182" s="10" t="n">
        <f aca="false">IF(OR(weather_data!H182="light rain",weather_data!H182="moderate rain",weather_data!H182="drizzle",weather_data!H182="thunderstorm"),1,0)</f>
        <v>0</v>
      </c>
      <c r="J182" s="10" t="n">
        <f aca="false">IF(weather_data!I182&gt;=25,1,0)</f>
        <v>0</v>
      </c>
    </row>
    <row r="183" customFormat="false" ht="15" hidden="false" customHeight="false" outlineLevel="0" collapsed="false">
      <c r="A183" s="8" t="n">
        <f aca="false">weather_data!B183</f>
        <v>45942.7430555556</v>
      </c>
      <c r="B183" s="9" t="n">
        <f aca="false">INT(A183)</f>
        <v>45942</v>
      </c>
      <c r="C183" s="10" t="str">
        <f aca="false">TEXT(B183,"yyyy-mm")</f>
        <v>2025-10</v>
      </c>
      <c r="D183" s="10" t="n">
        <f aca="false">MONTH(B183)</f>
        <v>10</v>
      </c>
      <c r="E183" s="10" t="str">
        <f aca="false">TEXT(B183,"mmmm")</f>
        <v>październik</v>
      </c>
      <c r="F183" s="10" t="str">
        <f aca="false">"Q"&amp;ROUNDUP(D183/3,0)</f>
        <v>Q4</v>
      </c>
      <c r="G183" s="10" t="str">
        <f aca="false">IF(OR(D183=12,D183&lt;=2),"Winter",IF(D183&lt;=5,"Spring",IF(D183&lt;=8,"Summer","Autumn")))</f>
        <v>Autumn</v>
      </c>
      <c r="H183" s="11" t="n">
        <f aca="false">weather_data!E183-weather_data!D183</f>
        <v>-0.800000000000001</v>
      </c>
      <c r="I183" s="10" t="n">
        <f aca="false">IF(OR(weather_data!H183="light rain",weather_data!H183="moderate rain",weather_data!H183="drizzle",weather_data!H183="thunderstorm"),1,0)</f>
        <v>0</v>
      </c>
      <c r="J183" s="10" t="n">
        <f aca="false">IF(weather_data!I183&gt;=25,1,0)</f>
        <v>0</v>
      </c>
    </row>
    <row r="184" customFormat="false" ht="15" hidden="false" customHeight="false" outlineLevel="0" collapsed="false">
      <c r="A184" s="8" t="n">
        <f aca="false">weather_data!B184</f>
        <v>45943.8680555556</v>
      </c>
      <c r="B184" s="9" t="n">
        <f aca="false">INT(A184)</f>
        <v>45943</v>
      </c>
      <c r="C184" s="10" t="str">
        <f aca="false">TEXT(B184,"yyyy-mm")</f>
        <v>2025-10</v>
      </c>
      <c r="D184" s="10" t="n">
        <f aca="false">MONTH(B184)</f>
        <v>10</v>
      </c>
      <c r="E184" s="10" t="str">
        <f aca="false">TEXT(B184,"mmmm")</f>
        <v>październik</v>
      </c>
      <c r="F184" s="10" t="str">
        <f aca="false">"Q"&amp;ROUNDUP(D184/3,0)</f>
        <v>Q4</v>
      </c>
      <c r="G184" s="10" t="str">
        <f aca="false">IF(OR(D184=12,D184&lt;=2),"Winter",IF(D184&lt;=5,"Spring",IF(D184&lt;=8,"Summer","Autumn")))</f>
        <v>Autumn</v>
      </c>
      <c r="H184" s="11" t="n">
        <f aca="false">weather_data!E184-weather_data!D184</f>
        <v>-0.100000000000001</v>
      </c>
      <c r="I184" s="10" t="n">
        <f aca="false">IF(OR(weather_data!H184="light rain",weather_data!H184="moderate rain",weather_data!H184="drizzle",weather_data!H184="thunderstorm"),1,0)</f>
        <v>1</v>
      </c>
      <c r="J184" s="10" t="n">
        <f aca="false">IF(weather_data!I184&gt;=25,1,0)</f>
        <v>0</v>
      </c>
    </row>
    <row r="185" customFormat="false" ht="15" hidden="false" customHeight="false" outlineLevel="0" collapsed="false">
      <c r="A185" s="8" t="n">
        <f aca="false">weather_data!B185</f>
        <v>45944.4375</v>
      </c>
      <c r="B185" s="9" t="n">
        <f aca="false">INT(A185)</f>
        <v>45944</v>
      </c>
      <c r="C185" s="10" t="str">
        <f aca="false">TEXT(B185,"yyyy-mm")</f>
        <v>2025-10</v>
      </c>
      <c r="D185" s="10" t="n">
        <f aca="false">MONTH(B185)</f>
        <v>10</v>
      </c>
      <c r="E185" s="10" t="str">
        <f aca="false">TEXT(B185,"mmmm")</f>
        <v>październik</v>
      </c>
      <c r="F185" s="10" t="str">
        <f aca="false">"Q"&amp;ROUNDUP(D185/3,0)</f>
        <v>Q4</v>
      </c>
      <c r="G185" s="10" t="str">
        <f aca="false">IF(OR(D185=12,D185&lt;=2),"Winter",IF(D185&lt;=5,"Spring",IF(D185&lt;=8,"Summer","Autumn")))</f>
        <v>Autumn</v>
      </c>
      <c r="H185" s="11" t="n">
        <f aca="false">weather_data!E185-weather_data!D185</f>
        <v>-0.600000000000001</v>
      </c>
      <c r="I185" s="10" t="n">
        <f aca="false">IF(OR(weather_data!H185="light rain",weather_data!H185="moderate rain",weather_data!H185="drizzle",weather_data!H185="thunderstorm"),1,0)</f>
        <v>0</v>
      </c>
      <c r="J185" s="10" t="n">
        <f aca="false">IF(weather_data!I185&gt;=25,1,0)</f>
        <v>0</v>
      </c>
    </row>
    <row r="186" customFormat="false" ht="15" hidden="false" customHeight="false" outlineLevel="0" collapsed="false">
      <c r="A186" s="8" t="n">
        <f aca="false">weather_data!B186</f>
        <v>45946.4930555556</v>
      </c>
      <c r="B186" s="9" t="n">
        <f aca="false">INT(A186)</f>
        <v>45946</v>
      </c>
      <c r="C186" s="10" t="str">
        <f aca="false">TEXT(B186,"yyyy-mm")</f>
        <v>2025-10</v>
      </c>
      <c r="D186" s="10" t="n">
        <f aca="false">MONTH(B186)</f>
        <v>10</v>
      </c>
      <c r="E186" s="10" t="str">
        <f aca="false">TEXT(B186,"mmmm")</f>
        <v>październik</v>
      </c>
      <c r="F186" s="10" t="str">
        <f aca="false">"Q"&amp;ROUNDUP(D186/3,0)</f>
        <v>Q4</v>
      </c>
      <c r="G186" s="10" t="str">
        <f aca="false">IF(OR(D186=12,D186&lt;=2),"Winter",IF(D186&lt;=5,"Spring",IF(D186&lt;=8,"Summer","Autumn")))</f>
        <v>Autumn</v>
      </c>
      <c r="H186" s="11" t="n">
        <f aca="false">weather_data!E186-weather_data!D186</f>
        <v>0.399999999999999</v>
      </c>
      <c r="I186" s="10" t="n">
        <f aca="false">IF(OR(weather_data!H186="light rain",weather_data!H186="moderate rain",weather_data!H186="drizzle",weather_data!H186="thunderstorm"),1,0)</f>
        <v>0</v>
      </c>
      <c r="J186" s="10" t="n">
        <f aca="false">IF(weather_data!I186&gt;=25,1,0)</f>
        <v>0</v>
      </c>
    </row>
    <row r="187" customFormat="false" ht="15" hidden="false" customHeight="false" outlineLevel="0" collapsed="false">
      <c r="A187" s="8" t="n">
        <f aca="false">weather_data!B187</f>
        <v>45947.6111111111</v>
      </c>
      <c r="B187" s="9" t="n">
        <f aca="false">INT(A187)</f>
        <v>45947</v>
      </c>
      <c r="C187" s="10" t="str">
        <f aca="false">TEXT(B187,"yyyy-mm")</f>
        <v>2025-10</v>
      </c>
      <c r="D187" s="10" t="n">
        <f aca="false">MONTH(B187)</f>
        <v>10</v>
      </c>
      <c r="E187" s="10" t="str">
        <f aca="false">TEXT(B187,"mmmm")</f>
        <v>październik</v>
      </c>
      <c r="F187" s="10" t="str">
        <f aca="false">"Q"&amp;ROUNDUP(D187/3,0)</f>
        <v>Q4</v>
      </c>
      <c r="G187" s="10" t="str">
        <f aca="false">IF(OR(D187=12,D187&lt;=2),"Winter",IF(D187&lt;=5,"Spring",IF(D187&lt;=8,"Summer","Autumn")))</f>
        <v>Autumn</v>
      </c>
      <c r="H187" s="11" t="n">
        <f aca="false">weather_data!E187-weather_data!D187</f>
        <v>-0.299999999999997</v>
      </c>
      <c r="I187" s="10" t="n">
        <f aca="false">IF(OR(weather_data!H187="light rain",weather_data!H187="moderate rain",weather_data!H187="drizzle",weather_data!H187="thunderstorm"),1,0)</f>
        <v>0</v>
      </c>
      <c r="J187" s="10" t="n">
        <f aca="false">IF(weather_data!I187&gt;=25,1,0)</f>
        <v>0</v>
      </c>
    </row>
    <row r="188" customFormat="false" ht="15" hidden="false" customHeight="false" outlineLevel="0" collapsed="false">
      <c r="A188" s="8" t="n">
        <f aca="false">weather_data!B188</f>
        <v>45948.8958333333</v>
      </c>
      <c r="B188" s="9" t="n">
        <f aca="false">INT(A188)</f>
        <v>45948</v>
      </c>
      <c r="C188" s="10" t="str">
        <f aca="false">TEXT(B188,"yyyy-mm")</f>
        <v>2025-10</v>
      </c>
      <c r="D188" s="10" t="n">
        <f aca="false">MONTH(B188)</f>
        <v>10</v>
      </c>
      <c r="E188" s="10" t="str">
        <f aca="false">TEXT(B188,"mmmm")</f>
        <v>październik</v>
      </c>
      <c r="F188" s="10" t="str">
        <f aca="false">"Q"&amp;ROUNDUP(D188/3,0)</f>
        <v>Q4</v>
      </c>
      <c r="G188" s="10" t="str">
        <f aca="false">IF(OR(D188=12,D188&lt;=2),"Winter",IF(D188&lt;=5,"Spring",IF(D188&lt;=8,"Summer","Autumn")))</f>
        <v>Autumn</v>
      </c>
      <c r="H188" s="11" t="n">
        <f aca="false">weather_data!E188-weather_data!D188</f>
        <v>0.699999999999999</v>
      </c>
      <c r="I188" s="10" t="n">
        <f aca="false">IF(OR(weather_data!H188="light rain",weather_data!H188="moderate rain",weather_data!H188="drizzle",weather_data!H188="thunderstorm"),1,0)</f>
        <v>1</v>
      </c>
      <c r="J188" s="10" t="n">
        <f aca="false">IF(weather_data!I188&gt;=25,1,0)</f>
        <v>0</v>
      </c>
    </row>
    <row r="189" customFormat="false" ht="15" hidden="false" customHeight="false" outlineLevel="0" collapsed="false">
      <c r="A189" s="8" t="n">
        <f aca="false">weather_data!B189</f>
        <v>45949.8263888889</v>
      </c>
      <c r="B189" s="9" t="n">
        <f aca="false">INT(A189)</f>
        <v>45949</v>
      </c>
      <c r="C189" s="10" t="str">
        <f aca="false">TEXT(B189,"yyyy-mm")</f>
        <v>2025-10</v>
      </c>
      <c r="D189" s="10" t="n">
        <f aca="false">MONTH(B189)</f>
        <v>10</v>
      </c>
      <c r="E189" s="10" t="str">
        <f aca="false">TEXT(B189,"mmmm")</f>
        <v>październik</v>
      </c>
      <c r="F189" s="10" t="str">
        <f aca="false">"Q"&amp;ROUNDUP(D189/3,0)</f>
        <v>Q4</v>
      </c>
      <c r="G189" s="10" t="str">
        <f aca="false">IF(OR(D189=12,D189&lt;=2),"Winter",IF(D189&lt;=5,"Spring",IF(D189&lt;=8,"Summer","Autumn")))</f>
        <v>Autumn</v>
      </c>
      <c r="H189" s="11" t="n">
        <f aca="false">weather_data!E189-weather_data!D189</f>
        <v>-0.100000000000001</v>
      </c>
      <c r="I189" s="10" t="n">
        <f aca="false">IF(OR(weather_data!H189="light rain",weather_data!H189="moderate rain",weather_data!H189="drizzle",weather_data!H189="thunderstorm"),1,0)</f>
        <v>0</v>
      </c>
      <c r="J189" s="10" t="n">
        <f aca="false">IF(weather_data!I189&gt;=25,1,0)</f>
        <v>0</v>
      </c>
    </row>
    <row r="190" customFormat="false" ht="15" hidden="false" customHeight="false" outlineLevel="0" collapsed="false">
      <c r="A190" s="8" t="n">
        <f aca="false">weather_data!B190</f>
        <v>45950.5972222222</v>
      </c>
      <c r="B190" s="9" t="n">
        <f aca="false">INT(A190)</f>
        <v>45950</v>
      </c>
      <c r="C190" s="10" t="str">
        <f aca="false">TEXT(B190,"yyyy-mm")</f>
        <v>2025-10</v>
      </c>
      <c r="D190" s="10" t="n">
        <f aca="false">MONTH(B190)</f>
        <v>10</v>
      </c>
      <c r="E190" s="10" t="str">
        <f aca="false">TEXT(B190,"mmmm")</f>
        <v>październik</v>
      </c>
      <c r="F190" s="10" t="str">
        <f aca="false">"Q"&amp;ROUNDUP(D190/3,0)</f>
        <v>Q4</v>
      </c>
      <c r="G190" s="10" t="str">
        <f aca="false">IF(OR(D190=12,D190&lt;=2),"Winter",IF(D190&lt;=5,"Spring",IF(D190&lt;=8,"Summer","Autumn")))</f>
        <v>Autumn</v>
      </c>
      <c r="H190" s="11" t="n">
        <f aca="false">weather_data!E190-weather_data!D190</f>
        <v>-1.1</v>
      </c>
      <c r="I190" s="10" t="n">
        <f aca="false">IF(OR(weather_data!H190="light rain",weather_data!H190="moderate rain",weather_data!H190="drizzle",weather_data!H190="thunderstorm"),1,0)</f>
        <v>0</v>
      </c>
      <c r="J190" s="10" t="n">
        <f aca="false">IF(weather_data!I190&gt;=25,1,0)</f>
        <v>0</v>
      </c>
    </row>
    <row r="191" customFormat="false" ht="15" hidden="false" customHeight="false" outlineLevel="0" collapsed="false">
      <c r="A191" s="8" t="n">
        <f aca="false">weather_data!B191</f>
        <v>45951.5416666667</v>
      </c>
      <c r="B191" s="9" t="n">
        <f aca="false">INT(A191)</f>
        <v>45951</v>
      </c>
      <c r="C191" s="10" t="str">
        <f aca="false">TEXT(B191,"yyyy-mm")</f>
        <v>2025-10</v>
      </c>
      <c r="D191" s="10" t="n">
        <f aca="false">MONTH(B191)</f>
        <v>10</v>
      </c>
      <c r="E191" s="10" t="str">
        <f aca="false">TEXT(B191,"mmmm")</f>
        <v>październik</v>
      </c>
      <c r="F191" s="10" t="str">
        <f aca="false">"Q"&amp;ROUNDUP(D191/3,0)</f>
        <v>Q4</v>
      </c>
      <c r="G191" s="10" t="str">
        <f aca="false">IF(OR(D191=12,D191&lt;=2),"Winter",IF(D191&lt;=5,"Spring",IF(D191&lt;=8,"Summer","Autumn")))</f>
        <v>Autumn</v>
      </c>
      <c r="H191" s="11" t="n">
        <f aca="false">weather_data!E191-weather_data!D191</f>
        <v>0.600000000000001</v>
      </c>
      <c r="I191" s="10" t="n">
        <f aca="false">IF(OR(weather_data!H191="light rain",weather_data!H191="moderate rain",weather_data!H191="drizzle",weather_data!H191="thunderstorm"),1,0)</f>
        <v>0</v>
      </c>
      <c r="J191" s="10" t="n">
        <f aca="false">IF(weather_data!I191&gt;=25,1,0)</f>
        <v>0</v>
      </c>
    </row>
    <row r="192" customFormat="false" ht="15" hidden="false" customHeight="false" outlineLevel="0" collapsed="false">
      <c r="A192" s="8" t="n">
        <f aca="false">weather_data!B192</f>
        <v>45952.6041666667</v>
      </c>
      <c r="B192" s="9" t="n">
        <f aca="false">INT(A192)</f>
        <v>45952</v>
      </c>
      <c r="C192" s="10" t="str">
        <f aca="false">TEXT(B192,"yyyy-mm")</f>
        <v>2025-10</v>
      </c>
      <c r="D192" s="10" t="n">
        <f aca="false">MONTH(B192)</f>
        <v>10</v>
      </c>
      <c r="E192" s="10" t="str">
        <f aca="false">TEXT(B192,"mmmm")</f>
        <v>październik</v>
      </c>
      <c r="F192" s="10" t="str">
        <f aca="false">"Q"&amp;ROUNDUP(D192/3,0)</f>
        <v>Q4</v>
      </c>
      <c r="G192" s="10" t="str">
        <f aca="false">IF(OR(D192=12,D192&lt;=2),"Winter",IF(D192&lt;=5,"Spring",IF(D192&lt;=8,"Summer","Autumn")))</f>
        <v>Autumn</v>
      </c>
      <c r="H192" s="11" t="n">
        <f aca="false">weather_data!E192-weather_data!D192</f>
        <v>-0.899999999999999</v>
      </c>
      <c r="I192" s="10" t="n">
        <f aca="false">IF(OR(weather_data!H192="light rain",weather_data!H192="moderate rain",weather_data!H192="drizzle",weather_data!H192="thunderstorm"),1,0)</f>
        <v>0</v>
      </c>
      <c r="J192" s="10" t="n">
        <f aca="false">IF(weather_data!I192&gt;=25,1,0)</f>
        <v>0</v>
      </c>
    </row>
    <row r="193" customFormat="false" ht="15" hidden="false" customHeight="false" outlineLevel="0" collapsed="false">
      <c r="A193" s="8" t="n">
        <f aca="false">weather_data!B193</f>
        <v>45953.5625</v>
      </c>
      <c r="B193" s="9" t="n">
        <f aca="false">INT(A193)</f>
        <v>45953</v>
      </c>
      <c r="C193" s="10" t="str">
        <f aca="false">TEXT(B193,"yyyy-mm")</f>
        <v>2025-10</v>
      </c>
      <c r="D193" s="10" t="n">
        <f aca="false">MONTH(B193)</f>
        <v>10</v>
      </c>
      <c r="E193" s="10" t="str">
        <f aca="false">TEXT(B193,"mmmm")</f>
        <v>październik</v>
      </c>
      <c r="F193" s="10" t="str">
        <f aca="false">"Q"&amp;ROUNDUP(D193/3,0)</f>
        <v>Q4</v>
      </c>
      <c r="G193" s="10" t="str">
        <f aca="false">IF(OR(D193=12,D193&lt;=2),"Winter",IF(D193&lt;=5,"Spring",IF(D193&lt;=8,"Summer","Autumn")))</f>
        <v>Autumn</v>
      </c>
      <c r="H193" s="11" t="n">
        <f aca="false">weather_data!E193-weather_data!D193</f>
        <v>1.1</v>
      </c>
      <c r="I193" s="10" t="n">
        <f aca="false">IF(OR(weather_data!H193="light rain",weather_data!H193="moderate rain",weather_data!H193="drizzle",weather_data!H193="thunderstorm"),1,0)</f>
        <v>0</v>
      </c>
      <c r="J193" s="10" t="n">
        <f aca="false">IF(weather_data!I193&gt;=25,1,0)</f>
        <v>0</v>
      </c>
    </row>
    <row r="194" customFormat="false" ht="15" hidden="false" customHeight="false" outlineLevel="0" collapsed="false">
      <c r="A194" s="8" t="n">
        <f aca="false">weather_data!B194</f>
        <v>45954.7638888889</v>
      </c>
      <c r="B194" s="9" t="n">
        <f aca="false">INT(A194)</f>
        <v>45954</v>
      </c>
      <c r="C194" s="10" t="str">
        <f aca="false">TEXT(B194,"yyyy-mm")</f>
        <v>2025-10</v>
      </c>
      <c r="D194" s="10" t="n">
        <f aca="false">MONTH(B194)</f>
        <v>10</v>
      </c>
      <c r="E194" s="10" t="str">
        <f aca="false">TEXT(B194,"mmmm")</f>
        <v>październik</v>
      </c>
      <c r="F194" s="10" t="str">
        <f aca="false">"Q"&amp;ROUNDUP(D194/3,0)</f>
        <v>Q4</v>
      </c>
      <c r="G194" s="10" t="str">
        <f aca="false">IF(OR(D194=12,D194&lt;=2),"Winter",IF(D194&lt;=5,"Spring",IF(D194&lt;=8,"Summer","Autumn")))</f>
        <v>Autumn</v>
      </c>
      <c r="H194" s="11" t="n">
        <f aca="false">weather_data!E194-weather_data!D194</f>
        <v>0.200000000000003</v>
      </c>
      <c r="I194" s="10" t="n">
        <f aca="false">IF(OR(weather_data!H194="light rain",weather_data!H194="moderate rain",weather_data!H194="drizzle",weather_data!H194="thunderstorm"),1,0)</f>
        <v>0</v>
      </c>
      <c r="J194" s="10" t="n">
        <f aca="false">IF(weather_data!I194&gt;=25,1,0)</f>
        <v>0</v>
      </c>
    </row>
    <row r="195" customFormat="false" ht="15" hidden="false" customHeight="false" outlineLevel="0" collapsed="false">
      <c r="A195" s="8" t="n">
        <f aca="false">weather_data!B195</f>
        <v>45955.2708333333</v>
      </c>
      <c r="B195" s="9" t="n">
        <f aca="false">INT(A195)</f>
        <v>45955</v>
      </c>
      <c r="C195" s="10" t="str">
        <f aca="false">TEXT(B195,"yyyy-mm")</f>
        <v>2025-10</v>
      </c>
      <c r="D195" s="10" t="n">
        <f aca="false">MONTH(B195)</f>
        <v>10</v>
      </c>
      <c r="E195" s="10" t="str">
        <f aca="false">TEXT(B195,"mmmm")</f>
        <v>październik</v>
      </c>
      <c r="F195" s="10" t="str">
        <f aca="false">"Q"&amp;ROUNDUP(D195/3,0)</f>
        <v>Q4</v>
      </c>
      <c r="G195" s="10" t="str">
        <f aca="false">IF(OR(D195=12,D195&lt;=2),"Winter",IF(D195&lt;=5,"Spring",IF(D195&lt;=8,"Summer","Autumn")))</f>
        <v>Autumn</v>
      </c>
      <c r="H195" s="11" t="n">
        <f aca="false">weather_data!E195-weather_data!D195</f>
        <v>-0.199999999999999</v>
      </c>
      <c r="I195" s="10" t="n">
        <f aca="false">IF(OR(weather_data!H195="light rain",weather_data!H195="moderate rain",weather_data!H195="drizzle",weather_data!H195="thunderstorm"),1,0)</f>
        <v>0</v>
      </c>
      <c r="J195" s="10" t="n">
        <f aca="false">IF(weather_data!I195&gt;=25,1,0)</f>
        <v>0</v>
      </c>
    </row>
    <row r="196" customFormat="false" ht="15" hidden="false" customHeight="false" outlineLevel="0" collapsed="false">
      <c r="A196" s="8" t="n">
        <f aca="false">weather_data!B196</f>
        <v>45956.6736111111</v>
      </c>
      <c r="B196" s="9" t="n">
        <f aca="false">INT(A196)</f>
        <v>45956</v>
      </c>
      <c r="C196" s="10" t="str">
        <f aca="false">TEXT(B196,"yyyy-mm")</f>
        <v>2025-10</v>
      </c>
      <c r="D196" s="10" t="n">
        <f aca="false">MONTH(B196)</f>
        <v>10</v>
      </c>
      <c r="E196" s="10" t="str">
        <f aca="false">TEXT(B196,"mmmm")</f>
        <v>październik</v>
      </c>
      <c r="F196" s="10" t="str">
        <f aca="false">"Q"&amp;ROUNDUP(D196/3,0)</f>
        <v>Q4</v>
      </c>
      <c r="G196" s="10" t="str">
        <f aca="false">IF(OR(D196=12,D196&lt;=2),"Winter",IF(D196&lt;=5,"Spring",IF(D196&lt;=8,"Summer","Autumn")))</f>
        <v>Autumn</v>
      </c>
      <c r="H196" s="11" t="n">
        <f aca="false">weather_data!E196-weather_data!D196</f>
        <v>1.2</v>
      </c>
      <c r="I196" s="10" t="n">
        <f aca="false">IF(OR(weather_data!H196="light rain",weather_data!H196="moderate rain",weather_data!H196="drizzle",weather_data!H196="thunderstorm"),1,0)</f>
        <v>0</v>
      </c>
      <c r="J196" s="10" t="n">
        <f aca="false">IF(weather_data!I196&gt;=25,1,0)</f>
        <v>0</v>
      </c>
    </row>
    <row r="197" customFormat="false" ht="15" hidden="false" customHeight="false" outlineLevel="0" collapsed="false">
      <c r="A197" s="8" t="n">
        <f aca="false">weather_data!B197</f>
        <v>45957.8819444445</v>
      </c>
      <c r="B197" s="9" t="n">
        <f aca="false">INT(A197)</f>
        <v>45957</v>
      </c>
      <c r="C197" s="10" t="str">
        <f aca="false">TEXT(B197,"yyyy-mm")</f>
        <v>2025-10</v>
      </c>
      <c r="D197" s="10" t="n">
        <f aca="false">MONTH(B197)</f>
        <v>10</v>
      </c>
      <c r="E197" s="10" t="str">
        <f aca="false">TEXT(B197,"mmmm")</f>
        <v>październik</v>
      </c>
      <c r="F197" s="10" t="str">
        <f aca="false">"Q"&amp;ROUNDUP(D197/3,0)</f>
        <v>Q4</v>
      </c>
      <c r="G197" s="10" t="str">
        <f aca="false">IF(OR(D197=12,D197&lt;=2),"Winter",IF(D197&lt;=5,"Spring",IF(D197&lt;=8,"Summer","Autumn")))</f>
        <v>Autumn</v>
      </c>
      <c r="H197" s="11" t="n">
        <f aca="false">weather_data!E197-weather_data!D197</f>
        <v>-0.300000000000001</v>
      </c>
      <c r="I197" s="10" t="n">
        <f aca="false">IF(OR(weather_data!H197="light rain",weather_data!H197="moderate rain",weather_data!H197="drizzle",weather_data!H197="thunderstorm"),1,0)</f>
        <v>0</v>
      </c>
      <c r="J197" s="10" t="n">
        <f aca="false">IF(weather_data!I197&gt;=25,1,0)</f>
        <v>0</v>
      </c>
    </row>
    <row r="198" customFormat="false" ht="15" hidden="false" customHeight="false" outlineLevel="0" collapsed="false">
      <c r="A198" s="8" t="n">
        <f aca="false">weather_data!B198</f>
        <v>45958.7222222222</v>
      </c>
      <c r="B198" s="9" t="n">
        <f aca="false">INT(A198)</f>
        <v>45958</v>
      </c>
      <c r="C198" s="10" t="str">
        <f aca="false">TEXT(B198,"yyyy-mm")</f>
        <v>2025-10</v>
      </c>
      <c r="D198" s="10" t="n">
        <f aca="false">MONTH(B198)</f>
        <v>10</v>
      </c>
      <c r="E198" s="10" t="str">
        <f aca="false">TEXT(B198,"mmmm")</f>
        <v>październik</v>
      </c>
      <c r="F198" s="10" t="str">
        <f aca="false">"Q"&amp;ROUNDUP(D198/3,0)</f>
        <v>Q4</v>
      </c>
      <c r="G198" s="10" t="str">
        <f aca="false">IF(OR(D198=12,D198&lt;=2),"Winter",IF(D198&lt;=5,"Spring",IF(D198&lt;=8,"Summer","Autumn")))</f>
        <v>Autumn</v>
      </c>
      <c r="H198" s="11" t="n">
        <f aca="false">weather_data!E198-weather_data!D198</f>
        <v>-1</v>
      </c>
      <c r="I198" s="10" t="n">
        <f aca="false">IF(OR(weather_data!H198="light rain",weather_data!H198="moderate rain",weather_data!H198="drizzle",weather_data!H198="thunderstorm"),1,0)</f>
        <v>0</v>
      </c>
      <c r="J198" s="10" t="n">
        <f aca="false">IF(weather_data!I198&gt;=25,1,0)</f>
        <v>0</v>
      </c>
    </row>
    <row r="199" customFormat="false" ht="15" hidden="false" customHeight="false" outlineLevel="0" collapsed="false">
      <c r="A199" s="8" t="n">
        <f aca="false">weather_data!B199</f>
        <v>45959.6805555556</v>
      </c>
      <c r="B199" s="9" t="n">
        <f aca="false">INT(A199)</f>
        <v>45959</v>
      </c>
      <c r="C199" s="10" t="str">
        <f aca="false">TEXT(B199,"yyyy-mm")</f>
        <v>2025-10</v>
      </c>
      <c r="D199" s="10" t="n">
        <f aca="false">MONTH(B199)</f>
        <v>10</v>
      </c>
      <c r="E199" s="10" t="str">
        <f aca="false">TEXT(B199,"mmmm")</f>
        <v>październik</v>
      </c>
      <c r="F199" s="10" t="str">
        <f aca="false">"Q"&amp;ROUNDUP(D199/3,0)</f>
        <v>Q4</v>
      </c>
      <c r="G199" s="10" t="str">
        <f aca="false">IF(OR(D199=12,D199&lt;=2),"Winter",IF(D199&lt;=5,"Spring",IF(D199&lt;=8,"Summer","Autumn")))</f>
        <v>Autumn</v>
      </c>
      <c r="H199" s="11" t="n">
        <f aca="false">weather_data!E199-weather_data!D199</f>
        <v>0.399999999999999</v>
      </c>
      <c r="I199" s="10" t="n">
        <f aca="false">IF(OR(weather_data!H199="light rain",weather_data!H199="moderate rain",weather_data!H199="drizzle",weather_data!H199="thunderstorm"),1,0)</f>
        <v>0</v>
      </c>
      <c r="J199" s="10" t="n">
        <f aca="false">IF(weather_data!I199&gt;=25,1,0)</f>
        <v>0</v>
      </c>
    </row>
    <row r="200" customFormat="false" ht="15" hidden="false" customHeight="false" outlineLevel="0" collapsed="false">
      <c r="A200" s="8" t="n">
        <f aca="false">weather_data!B200</f>
        <v>45960.6111111111</v>
      </c>
      <c r="B200" s="9" t="n">
        <f aca="false">INT(A200)</f>
        <v>45960</v>
      </c>
      <c r="C200" s="10" t="str">
        <f aca="false">TEXT(B200,"yyyy-mm")</f>
        <v>2025-10</v>
      </c>
      <c r="D200" s="10" t="n">
        <f aca="false">MONTH(B200)</f>
        <v>10</v>
      </c>
      <c r="E200" s="10" t="str">
        <f aca="false">TEXT(B200,"mmmm")</f>
        <v>październik</v>
      </c>
      <c r="F200" s="10" t="str">
        <f aca="false">"Q"&amp;ROUNDUP(D200/3,0)</f>
        <v>Q4</v>
      </c>
      <c r="G200" s="10" t="str">
        <f aca="false">IF(OR(D200=12,D200&lt;=2),"Winter",IF(D200&lt;=5,"Spring",IF(D200&lt;=8,"Summer","Autumn")))</f>
        <v>Autumn</v>
      </c>
      <c r="H200" s="11" t="n">
        <f aca="false">weather_data!E200-weather_data!D200</f>
        <v>-0.600000000000001</v>
      </c>
      <c r="I200" s="10" t="n">
        <f aca="false">IF(OR(weather_data!H200="light rain",weather_data!H200="moderate rain",weather_data!H200="drizzle",weather_data!H200="thunderstorm"),1,0)</f>
        <v>0</v>
      </c>
      <c r="J200" s="10" t="n">
        <f aca="false">IF(weather_data!I200&gt;=25,1,0)</f>
        <v>0</v>
      </c>
    </row>
    <row r="201" customFormat="false" ht="15" hidden="false" customHeight="false" outlineLevel="0" collapsed="false">
      <c r="A201" s="8" t="n">
        <f aca="false">weather_data!B201</f>
        <v>45961.2777777778</v>
      </c>
      <c r="B201" s="9" t="n">
        <f aca="false">INT(A201)</f>
        <v>45961</v>
      </c>
      <c r="C201" s="10" t="str">
        <f aca="false">TEXT(B201,"yyyy-mm")</f>
        <v>2025-10</v>
      </c>
      <c r="D201" s="10" t="n">
        <f aca="false">MONTH(B201)</f>
        <v>10</v>
      </c>
      <c r="E201" s="10" t="str">
        <f aca="false">TEXT(B201,"mmmm")</f>
        <v>październik</v>
      </c>
      <c r="F201" s="10" t="str">
        <f aca="false">"Q"&amp;ROUNDUP(D201/3,0)</f>
        <v>Q4</v>
      </c>
      <c r="G201" s="10" t="str">
        <f aca="false">IF(OR(D201=12,D201&lt;=2),"Winter",IF(D201&lt;=5,"Spring",IF(D201&lt;=8,"Summer","Autumn")))</f>
        <v>Autumn</v>
      </c>
      <c r="H201" s="11" t="n">
        <f aca="false">weather_data!E201-weather_data!D201</f>
        <v>-0.5</v>
      </c>
      <c r="I201" s="10" t="n">
        <f aca="false">IF(OR(weather_data!H201="light rain",weather_data!H201="moderate rain",weather_data!H201="drizzle",weather_data!H201="thunderstorm"),1,0)</f>
        <v>0</v>
      </c>
      <c r="J201" s="10" t="n">
        <f aca="false">IF(weather_data!I201&gt;=25,1,0)</f>
        <v>0</v>
      </c>
    </row>
    <row r="202" customFormat="false" ht="15" hidden="false" customHeight="false" outlineLevel="0" collapsed="false">
      <c r="A202" s="8" t="n">
        <f aca="false">weather_data!B202</f>
        <v>45962.5</v>
      </c>
      <c r="B202" s="9" t="n">
        <f aca="false">INT(A202)</f>
        <v>45962</v>
      </c>
      <c r="C202" s="10" t="str">
        <f aca="false">TEXT(B202,"yyyy-mm")</f>
        <v>2025-11</v>
      </c>
      <c r="D202" s="10" t="n">
        <f aca="false">MONTH(B202)</f>
        <v>11</v>
      </c>
      <c r="E202" s="10" t="str">
        <f aca="false">TEXT(B202,"mmmm")</f>
        <v>listopad</v>
      </c>
      <c r="F202" s="10" t="str">
        <f aca="false">"Q"&amp;ROUNDUP(D202/3,0)</f>
        <v>Q4</v>
      </c>
      <c r="G202" s="10" t="str">
        <f aca="false">IF(OR(D202=12,D202&lt;=2),"Winter",IF(D202&lt;=5,"Spring",IF(D202&lt;=8,"Summer","Autumn")))</f>
        <v>Autumn</v>
      </c>
      <c r="H202" s="11" t="n">
        <f aca="false">weather_data!E202-weather_data!D202</f>
        <v>0.900000000000002</v>
      </c>
      <c r="I202" s="10" t="n">
        <f aca="false">IF(OR(weather_data!H202="light rain",weather_data!H202="moderate rain",weather_data!H202="drizzle",weather_data!H202="thunderstorm"),1,0)</f>
        <v>0</v>
      </c>
      <c r="J202" s="10" t="n">
        <f aca="false">IF(weather_data!I202&gt;=25,1,0)</f>
        <v>0</v>
      </c>
    </row>
    <row r="203" customFormat="false" ht="15" hidden="false" customHeight="false" outlineLevel="0" collapsed="false">
      <c r="A203" s="8" t="n">
        <f aca="false">weather_data!B203</f>
        <v>45963.5763888889</v>
      </c>
      <c r="B203" s="9" t="n">
        <f aca="false">INT(A203)</f>
        <v>45963</v>
      </c>
      <c r="C203" s="10" t="str">
        <f aca="false">TEXT(B203,"yyyy-mm")</f>
        <v>2025-11</v>
      </c>
      <c r="D203" s="10" t="n">
        <f aca="false">MONTH(B203)</f>
        <v>11</v>
      </c>
      <c r="E203" s="10" t="str">
        <f aca="false">TEXT(B203,"mmmm")</f>
        <v>listopad</v>
      </c>
      <c r="F203" s="10" t="str">
        <f aca="false">"Q"&amp;ROUNDUP(D203/3,0)</f>
        <v>Q4</v>
      </c>
      <c r="G203" s="10" t="str">
        <f aca="false">IF(OR(D203=12,D203&lt;=2),"Winter",IF(D203&lt;=5,"Spring",IF(D203&lt;=8,"Summer","Autumn")))</f>
        <v>Autumn</v>
      </c>
      <c r="H203" s="11" t="n">
        <f aca="false">weather_data!E203-weather_data!D203</f>
        <v>-0.4</v>
      </c>
      <c r="I203" s="10" t="n">
        <f aca="false">IF(OR(weather_data!H203="light rain",weather_data!H203="moderate rain",weather_data!H203="drizzle",weather_data!H203="thunderstorm"),1,0)</f>
        <v>0</v>
      </c>
      <c r="J203" s="10" t="n">
        <f aca="false">IF(weather_data!I203&gt;=25,1,0)</f>
        <v>0</v>
      </c>
    </row>
    <row r="204" customFormat="false" ht="15" hidden="false" customHeight="false" outlineLevel="0" collapsed="false">
      <c r="A204" s="8" t="n">
        <f aca="false">weather_data!B204</f>
        <v>45964.8125</v>
      </c>
      <c r="B204" s="9" t="n">
        <f aca="false">INT(A204)</f>
        <v>45964</v>
      </c>
      <c r="C204" s="10" t="str">
        <f aca="false">TEXT(B204,"yyyy-mm")</f>
        <v>2025-11</v>
      </c>
      <c r="D204" s="10" t="n">
        <f aca="false">MONTH(B204)</f>
        <v>11</v>
      </c>
      <c r="E204" s="10" t="str">
        <f aca="false">TEXT(B204,"mmmm")</f>
        <v>listopad</v>
      </c>
      <c r="F204" s="10" t="str">
        <f aca="false">"Q"&amp;ROUNDUP(D204/3,0)</f>
        <v>Q4</v>
      </c>
      <c r="G204" s="10" t="str">
        <f aca="false">IF(OR(D204=12,D204&lt;=2),"Winter",IF(D204&lt;=5,"Spring",IF(D204&lt;=8,"Summer","Autumn")))</f>
        <v>Autumn</v>
      </c>
      <c r="H204" s="11" t="n">
        <f aca="false">weather_data!E204-weather_data!D204</f>
        <v>0.700000000000003</v>
      </c>
      <c r="I204" s="10" t="n">
        <f aca="false">IF(OR(weather_data!H204="light rain",weather_data!H204="moderate rain",weather_data!H204="drizzle",weather_data!H204="thunderstorm"),1,0)</f>
        <v>0</v>
      </c>
      <c r="J204" s="10" t="n">
        <f aca="false">IF(weather_data!I204&gt;=25,1,0)</f>
        <v>0</v>
      </c>
    </row>
    <row r="205" customFormat="false" ht="15" hidden="false" customHeight="false" outlineLevel="0" collapsed="false">
      <c r="A205" s="8" t="n">
        <f aca="false">weather_data!B205</f>
        <v>45965.5763888889</v>
      </c>
      <c r="B205" s="9" t="n">
        <f aca="false">INT(A205)</f>
        <v>45965</v>
      </c>
      <c r="C205" s="10" t="str">
        <f aca="false">TEXT(B205,"yyyy-mm")</f>
        <v>2025-11</v>
      </c>
      <c r="D205" s="10" t="n">
        <f aca="false">MONTH(B205)</f>
        <v>11</v>
      </c>
      <c r="E205" s="10" t="str">
        <f aca="false">TEXT(B205,"mmmm")</f>
        <v>listopad</v>
      </c>
      <c r="F205" s="10" t="str">
        <f aca="false">"Q"&amp;ROUNDUP(D205/3,0)</f>
        <v>Q4</v>
      </c>
      <c r="G205" s="10" t="str">
        <f aca="false">IF(OR(D205=12,D205&lt;=2),"Winter",IF(D205&lt;=5,"Spring",IF(D205&lt;=8,"Summer","Autumn")))</f>
        <v>Autumn</v>
      </c>
      <c r="H205" s="11" t="n">
        <f aca="false">weather_data!E205-weather_data!D205</f>
        <v>-0.400000000000002</v>
      </c>
      <c r="I205" s="10" t="n">
        <f aca="false">IF(OR(weather_data!H205="light rain",weather_data!H205="moderate rain",weather_data!H205="drizzle",weather_data!H205="thunderstorm"),1,0)</f>
        <v>0</v>
      </c>
      <c r="J205" s="10" t="n">
        <f aca="false">IF(weather_data!I205&gt;=25,1,0)</f>
        <v>0</v>
      </c>
    </row>
    <row r="206" customFormat="false" ht="15" hidden="false" customHeight="false" outlineLevel="0" collapsed="false">
      <c r="A206" s="8" t="n">
        <f aca="false">weather_data!B206</f>
        <v>45966.9097222222</v>
      </c>
      <c r="B206" s="9" t="n">
        <f aca="false">INT(A206)</f>
        <v>45966</v>
      </c>
      <c r="C206" s="10" t="str">
        <f aca="false">TEXT(B206,"yyyy-mm")</f>
        <v>2025-11</v>
      </c>
      <c r="D206" s="10" t="n">
        <f aca="false">MONTH(B206)</f>
        <v>11</v>
      </c>
      <c r="E206" s="10" t="str">
        <f aca="false">TEXT(B206,"mmmm")</f>
        <v>listopad</v>
      </c>
      <c r="F206" s="10" t="str">
        <f aca="false">"Q"&amp;ROUNDUP(D206/3,0)</f>
        <v>Q4</v>
      </c>
      <c r="G206" s="10" t="str">
        <f aca="false">IF(OR(D206=12,D206&lt;=2),"Winter",IF(D206&lt;=5,"Spring",IF(D206&lt;=8,"Summer","Autumn")))</f>
        <v>Autumn</v>
      </c>
      <c r="H206" s="11" t="n">
        <f aca="false">weather_data!E206-weather_data!D206</f>
        <v>1.2</v>
      </c>
      <c r="I206" s="10" t="n">
        <f aca="false">IF(OR(weather_data!H206="light rain",weather_data!H206="moderate rain",weather_data!H206="drizzle",weather_data!H206="thunderstorm"),1,0)</f>
        <v>0</v>
      </c>
      <c r="J206" s="10" t="n">
        <f aca="false">IF(weather_data!I206&gt;=25,1,0)</f>
        <v>0</v>
      </c>
    </row>
    <row r="207" customFormat="false" ht="15" hidden="false" customHeight="false" outlineLevel="0" collapsed="false">
      <c r="A207" s="8" t="n">
        <f aca="false">weather_data!B207</f>
        <v>45967.8958333333</v>
      </c>
      <c r="B207" s="9" t="n">
        <f aca="false">INT(A207)</f>
        <v>45967</v>
      </c>
      <c r="C207" s="10" t="str">
        <f aca="false">TEXT(B207,"yyyy-mm")</f>
        <v>2025-11</v>
      </c>
      <c r="D207" s="10" t="n">
        <f aca="false">MONTH(B207)</f>
        <v>11</v>
      </c>
      <c r="E207" s="10" t="str">
        <f aca="false">TEXT(B207,"mmmm")</f>
        <v>listopad</v>
      </c>
      <c r="F207" s="10" t="str">
        <f aca="false">"Q"&amp;ROUNDUP(D207/3,0)</f>
        <v>Q4</v>
      </c>
      <c r="G207" s="10" t="str">
        <f aca="false">IF(OR(D207=12,D207&lt;=2),"Winter",IF(D207&lt;=5,"Spring",IF(D207&lt;=8,"Summer","Autumn")))</f>
        <v>Autumn</v>
      </c>
      <c r="H207" s="11" t="n">
        <f aca="false">weather_data!E207-weather_data!D207</f>
        <v>-0.399999999999999</v>
      </c>
      <c r="I207" s="10" t="n">
        <f aca="false">IF(OR(weather_data!H207="light rain",weather_data!H207="moderate rain",weather_data!H207="drizzle",weather_data!H207="thunderstorm"),1,0)</f>
        <v>1</v>
      </c>
      <c r="J207" s="10" t="n">
        <f aca="false">IF(weather_data!I207&gt;=25,1,0)</f>
        <v>1</v>
      </c>
    </row>
    <row r="208" customFormat="false" ht="15" hidden="false" customHeight="false" outlineLevel="0" collapsed="false">
      <c r="A208" s="8" t="n">
        <f aca="false">weather_data!B208</f>
        <v>45968.25</v>
      </c>
      <c r="B208" s="9" t="n">
        <f aca="false">INT(A208)</f>
        <v>45968</v>
      </c>
      <c r="C208" s="10" t="str">
        <f aca="false">TEXT(B208,"yyyy-mm")</f>
        <v>2025-11</v>
      </c>
      <c r="D208" s="10" t="n">
        <f aca="false">MONTH(B208)</f>
        <v>11</v>
      </c>
      <c r="E208" s="10" t="str">
        <f aca="false">TEXT(B208,"mmmm")</f>
        <v>listopad</v>
      </c>
      <c r="F208" s="10" t="str">
        <f aca="false">"Q"&amp;ROUNDUP(D208/3,0)</f>
        <v>Q4</v>
      </c>
      <c r="G208" s="10" t="str">
        <f aca="false">IF(OR(D208=12,D208&lt;=2),"Winter",IF(D208&lt;=5,"Spring",IF(D208&lt;=8,"Summer","Autumn")))</f>
        <v>Autumn</v>
      </c>
      <c r="H208" s="11" t="n">
        <f aca="false">weather_data!E208-weather_data!D208</f>
        <v>-1.1</v>
      </c>
      <c r="I208" s="10" t="n">
        <f aca="false">IF(OR(weather_data!H208="light rain",weather_data!H208="moderate rain",weather_data!H208="drizzle",weather_data!H208="thunderstorm"),1,0)</f>
        <v>0</v>
      </c>
      <c r="J208" s="10" t="n">
        <f aca="false">IF(weather_data!I208&gt;=25,1,0)</f>
        <v>0</v>
      </c>
    </row>
    <row r="209" customFormat="false" ht="15" hidden="false" customHeight="false" outlineLevel="0" collapsed="false">
      <c r="A209" s="8" t="n">
        <f aca="false">weather_data!B209</f>
        <v>45970.6319444445</v>
      </c>
      <c r="B209" s="9" t="n">
        <f aca="false">INT(A209)</f>
        <v>45970</v>
      </c>
      <c r="C209" s="10" t="str">
        <f aca="false">TEXT(B209,"yyyy-mm")</f>
        <v>2025-11</v>
      </c>
      <c r="D209" s="10" t="n">
        <f aca="false">MONTH(B209)</f>
        <v>11</v>
      </c>
      <c r="E209" s="10" t="str">
        <f aca="false">TEXT(B209,"mmmm")</f>
        <v>listopad</v>
      </c>
      <c r="F209" s="10" t="str">
        <f aca="false">"Q"&amp;ROUNDUP(D209/3,0)</f>
        <v>Q4</v>
      </c>
      <c r="G209" s="10" t="str">
        <f aca="false">IF(OR(D209=12,D209&lt;=2),"Winter",IF(D209&lt;=5,"Spring",IF(D209&lt;=8,"Summer","Autumn")))</f>
        <v>Autumn</v>
      </c>
      <c r="H209" s="11" t="n">
        <f aca="false">weather_data!E209-weather_data!D209</f>
        <v>1</v>
      </c>
      <c r="I209" s="10" t="n">
        <f aca="false">IF(OR(weather_data!H209="light rain",weather_data!H209="moderate rain",weather_data!H209="drizzle",weather_data!H209="thunderstorm"),1,0)</f>
        <v>0</v>
      </c>
      <c r="J209" s="10" t="n">
        <f aca="false">IF(weather_data!I209&gt;=25,1,0)</f>
        <v>0</v>
      </c>
    </row>
    <row r="210" customFormat="false" ht="15" hidden="false" customHeight="false" outlineLevel="0" collapsed="false">
      <c r="A210" s="8" t="n">
        <f aca="false">weather_data!B210</f>
        <v>45971.7847222222</v>
      </c>
      <c r="B210" s="9" t="n">
        <f aca="false">INT(A210)</f>
        <v>45971</v>
      </c>
      <c r="C210" s="10" t="str">
        <f aca="false">TEXT(B210,"yyyy-mm")</f>
        <v>2025-11</v>
      </c>
      <c r="D210" s="10" t="n">
        <f aca="false">MONTH(B210)</f>
        <v>11</v>
      </c>
      <c r="E210" s="10" t="str">
        <f aca="false">TEXT(B210,"mmmm")</f>
        <v>listopad</v>
      </c>
      <c r="F210" s="10" t="str">
        <f aca="false">"Q"&amp;ROUNDUP(D210/3,0)</f>
        <v>Q4</v>
      </c>
      <c r="G210" s="10" t="str">
        <f aca="false">IF(OR(D210=12,D210&lt;=2),"Winter",IF(D210&lt;=5,"Spring",IF(D210&lt;=8,"Summer","Autumn")))</f>
        <v>Autumn</v>
      </c>
      <c r="H210" s="11" t="n">
        <f aca="false">weather_data!E210-weather_data!D210</f>
        <v>0.199999999999999</v>
      </c>
      <c r="I210" s="10" t="n">
        <f aca="false">IF(OR(weather_data!H210="light rain",weather_data!H210="moderate rain",weather_data!H210="drizzle",weather_data!H210="thunderstorm"),1,0)</f>
        <v>1</v>
      </c>
      <c r="J210" s="10" t="n">
        <f aca="false">IF(weather_data!I210&gt;=25,1,0)</f>
        <v>0</v>
      </c>
    </row>
    <row r="211" customFormat="false" ht="15" hidden="false" customHeight="false" outlineLevel="0" collapsed="false">
      <c r="A211" s="8" t="n">
        <f aca="false">weather_data!B211</f>
        <v>45972.5555555556</v>
      </c>
      <c r="B211" s="9" t="n">
        <f aca="false">INT(A211)</f>
        <v>45972</v>
      </c>
      <c r="C211" s="10" t="str">
        <f aca="false">TEXT(B211,"yyyy-mm")</f>
        <v>2025-11</v>
      </c>
      <c r="D211" s="10" t="n">
        <f aca="false">MONTH(B211)</f>
        <v>11</v>
      </c>
      <c r="E211" s="10" t="str">
        <f aca="false">TEXT(B211,"mmmm")</f>
        <v>listopad</v>
      </c>
      <c r="F211" s="10" t="str">
        <f aca="false">"Q"&amp;ROUNDUP(D211/3,0)</f>
        <v>Q4</v>
      </c>
      <c r="G211" s="10" t="str">
        <f aca="false">IF(OR(D211=12,D211&lt;=2),"Winter",IF(D211&lt;=5,"Spring",IF(D211&lt;=8,"Summer","Autumn")))</f>
        <v>Autumn</v>
      </c>
      <c r="H211" s="11" t="n">
        <f aca="false">weather_data!E211-weather_data!D211</f>
        <v>0.300000000000001</v>
      </c>
      <c r="I211" s="10" t="n">
        <f aca="false">IF(OR(weather_data!H211="light rain",weather_data!H211="moderate rain",weather_data!H211="drizzle",weather_data!H211="thunderstorm"),1,0)</f>
        <v>1</v>
      </c>
      <c r="J211" s="10" t="n">
        <f aca="false">IF(weather_data!I211&gt;=25,1,0)</f>
        <v>0</v>
      </c>
    </row>
    <row r="212" customFormat="false" ht="15" hidden="false" customHeight="false" outlineLevel="0" collapsed="false">
      <c r="A212" s="8" t="n">
        <f aca="false">weather_data!B212</f>
        <v>45973.7291666667</v>
      </c>
      <c r="B212" s="9" t="n">
        <f aca="false">INT(A212)</f>
        <v>45973</v>
      </c>
      <c r="C212" s="10" t="str">
        <f aca="false">TEXT(B212,"yyyy-mm")</f>
        <v>2025-11</v>
      </c>
      <c r="D212" s="10" t="n">
        <f aca="false">MONTH(B212)</f>
        <v>11</v>
      </c>
      <c r="E212" s="10" t="str">
        <f aca="false">TEXT(B212,"mmmm")</f>
        <v>listopad</v>
      </c>
      <c r="F212" s="10" t="str">
        <f aca="false">"Q"&amp;ROUNDUP(D212/3,0)</f>
        <v>Q4</v>
      </c>
      <c r="G212" s="10" t="str">
        <f aca="false">IF(OR(D212=12,D212&lt;=2),"Winter",IF(D212&lt;=5,"Spring",IF(D212&lt;=8,"Summer","Autumn")))</f>
        <v>Autumn</v>
      </c>
      <c r="H212" s="11" t="n">
        <f aca="false">weather_data!E212-weather_data!D212</f>
        <v>-0.5</v>
      </c>
      <c r="I212" s="10" t="n">
        <f aca="false">IF(OR(weather_data!H212="light rain",weather_data!H212="moderate rain",weather_data!H212="drizzle",weather_data!H212="thunderstorm"),1,0)</f>
        <v>0</v>
      </c>
      <c r="J212" s="10" t="n">
        <f aca="false">IF(weather_data!I212&gt;=25,1,0)</f>
        <v>0</v>
      </c>
    </row>
    <row r="213" customFormat="false" ht="15" hidden="false" customHeight="false" outlineLevel="0" collapsed="false">
      <c r="A213" s="8" t="n">
        <f aca="false">weather_data!B213</f>
        <v>45974.7291666667</v>
      </c>
      <c r="B213" s="9" t="n">
        <f aca="false">INT(A213)</f>
        <v>45974</v>
      </c>
      <c r="C213" s="10" t="str">
        <f aca="false">TEXT(B213,"yyyy-mm")</f>
        <v>2025-11</v>
      </c>
      <c r="D213" s="10" t="n">
        <f aca="false">MONTH(B213)</f>
        <v>11</v>
      </c>
      <c r="E213" s="10" t="str">
        <f aca="false">TEXT(B213,"mmmm")</f>
        <v>listopad</v>
      </c>
      <c r="F213" s="10" t="str">
        <f aca="false">"Q"&amp;ROUNDUP(D213/3,0)</f>
        <v>Q4</v>
      </c>
      <c r="G213" s="10" t="str">
        <f aca="false">IF(OR(D213=12,D213&lt;=2),"Winter",IF(D213&lt;=5,"Spring",IF(D213&lt;=8,"Summer","Autumn")))</f>
        <v>Autumn</v>
      </c>
      <c r="H213" s="11" t="n">
        <f aca="false">weather_data!E213-weather_data!D213</f>
        <v>-1</v>
      </c>
      <c r="I213" s="10" t="n">
        <f aca="false">IF(OR(weather_data!H213="light rain",weather_data!H213="moderate rain",weather_data!H213="drizzle",weather_data!H213="thunderstorm"),1,0)</f>
        <v>0</v>
      </c>
      <c r="J213" s="10" t="n">
        <f aca="false">IF(weather_data!I213&gt;=25,1,0)</f>
        <v>0</v>
      </c>
    </row>
    <row r="214" customFormat="false" ht="15" hidden="false" customHeight="false" outlineLevel="0" collapsed="false">
      <c r="A214" s="8" t="n">
        <f aca="false">weather_data!B214</f>
        <v>45975.6805555556</v>
      </c>
      <c r="B214" s="9" t="n">
        <f aca="false">INT(A214)</f>
        <v>45975</v>
      </c>
      <c r="C214" s="10" t="str">
        <f aca="false">TEXT(B214,"yyyy-mm")</f>
        <v>2025-11</v>
      </c>
      <c r="D214" s="10" t="n">
        <f aca="false">MONTH(B214)</f>
        <v>11</v>
      </c>
      <c r="E214" s="10" t="str">
        <f aca="false">TEXT(B214,"mmmm")</f>
        <v>listopad</v>
      </c>
      <c r="F214" s="10" t="str">
        <f aca="false">"Q"&amp;ROUNDUP(D214/3,0)</f>
        <v>Q4</v>
      </c>
      <c r="G214" s="10" t="str">
        <f aca="false">IF(OR(D214=12,D214&lt;=2),"Winter",IF(D214&lt;=5,"Spring",IF(D214&lt;=8,"Summer","Autumn")))</f>
        <v>Autumn</v>
      </c>
      <c r="H214" s="11" t="n">
        <f aca="false">weather_data!E214-weather_data!D214</f>
        <v>-0.5</v>
      </c>
      <c r="I214" s="10" t="n">
        <f aca="false">IF(OR(weather_data!H214="light rain",weather_data!H214="moderate rain",weather_data!H214="drizzle",weather_data!H214="thunderstorm"),1,0)</f>
        <v>0</v>
      </c>
      <c r="J214" s="10" t="n">
        <f aca="false">IF(weather_data!I214&gt;=25,1,0)</f>
        <v>0</v>
      </c>
    </row>
    <row r="215" customFormat="false" ht="15" hidden="false" customHeight="false" outlineLevel="0" collapsed="false">
      <c r="A215" s="8" t="n">
        <f aca="false">weather_data!B215</f>
        <v>45976.8472222222</v>
      </c>
      <c r="B215" s="9" t="n">
        <f aca="false">INT(A215)</f>
        <v>45976</v>
      </c>
      <c r="C215" s="10" t="str">
        <f aca="false">TEXT(B215,"yyyy-mm")</f>
        <v>2025-11</v>
      </c>
      <c r="D215" s="10" t="n">
        <f aca="false">MONTH(B215)</f>
        <v>11</v>
      </c>
      <c r="E215" s="10" t="str">
        <f aca="false">TEXT(B215,"mmmm")</f>
        <v>listopad</v>
      </c>
      <c r="F215" s="10" t="str">
        <f aca="false">"Q"&amp;ROUNDUP(D215/3,0)</f>
        <v>Q4</v>
      </c>
      <c r="G215" s="10" t="str">
        <f aca="false">IF(OR(D215=12,D215&lt;=2),"Winter",IF(D215&lt;=5,"Spring",IF(D215&lt;=8,"Summer","Autumn")))</f>
        <v>Autumn</v>
      </c>
      <c r="H215" s="11" t="n">
        <f aca="false">weather_data!E215-weather_data!D215</f>
        <v>-0.899999999999999</v>
      </c>
      <c r="I215" s="10" t="n">
        <f aca="false">IF(OR(weather_data!H215="light rain",weather_data!H215="moderate rain",weather_data!H215="drizzle",weather_data!H215="thunderstorm"),1,0)</f>
        <v>1</v>
      </c>
      <c r="J215" s="10" t="n">
        <f aca="false">IF(weather_data!I215&gt;=25,1,0)</f>
        <v>1</v>
      </c>
    </row>
    <row r="216" customFormat="false" ht="15" hidden="false" customHeight="false" outlineLevel="0" collapsed="false">
      <c r="A216" s="8" t="n">
        <f aca="false">weather_data!B216</f>
        <v>45977.6388888889</v>
      </c>
      <c r="B216" s="9" t="n">
        <f aca="false">INT(A216)</f>
        <v>45977</v>
      </c>
      <c r="C216" s="10" t="str">
        <f aca="false">TEXT(B216,"yyyy-mm")</f>
        <v>2025-11</v>
      </c>
      <c r="D216" s="10" t="n">
        <f aca="false">MONTH(B216)</f>
        <v>11</v>
      </c>
      <c r="E216" s="10" t="str">
        <f aca="false">TEXT(B216,"mmmm")</f>
        <v>listopad</v>
      </c>
      <c r="F216" s="10" t="str">
        <f aca="false">"Q"&amp;ROUNDUP(D216/3,0)</f>
        <v>Q4</v>
      </c>
      <c r="G216" s="10" t="str">
        <f aca="false">IF(OR(D216=12,D216&lt;=2),"Winter",IF(D216&lt;=5,"Spring",IF(D216&lt;=8,"Summer","Autumn")))</f>
        <v>Autumn</v>
      </c>
      <c r="H216" s="11" t="n">
        <f aca="false">weather_data!E216-weather_data!D216</f>
        <v>1</v>
      </c>
      <c r="I216" s="10" t="n">
        <f aca="false">IF(OR(weather_data!H216="light rain",weather_data!H216="moderate rain",weather_data!H216="drizzle",weather_data!H216="thunderstorm"),1,0)</f>
        <v>0</v>
      </c>
      <c r="J216" s="10" t="n">
        <f aca="false">IF(weather_data!I216&gt;=25,1,0)</f>
        <v>0</v>
      </c>
    </row>
    <row r="217" customFormat="false" ht="15" hidden="false" customHeight="false" outlineLevel="0" collapsed="false">
      <c r="A217" s="8" t="n">
        <f aca="false">weather_data!B217</f>
        <v>45978.5416666667</v>
      </c>
      <c r="B217" s="9" t="n">
        <f aca="false">INT(A217)</f>
        <v>45978</v>
      </c>
      <c r="C217" s="10" t="str">
        <f aca="false">TEXT(B217,"yyyy-mm")</f>
        <v>2025-11</v>
      </c>
      <c r="D217" s="10" t="n">
        <f aca="false">MONTH(B217)</f>
        <v>11</v>
      </c>
      <c r="E217" s="10" t="str">
        <f aca="false">TEXT(B217,"mmmm")</f>
        <v>listopad</v>
      </c>
      <c r="F217" s="10" t="str">
        <f aca="false">"Q"&amp;ROUNDUP(D217/3,0)</f>
        <v>Q4</v>
      </c>
      <c r="G217" s="10" t="str">
        <f aca="false">IF(OR(D217=12,D217&lt;=2),"Winter",IF(D217&lt;=5,"Spring",IF(D217&lt;=8,"Summer","Autumn")))</f>
        <v>Autumn</v>
      </c>
      <c r="H217" s="11" t="n">
        <f aca="false">weather_data!E217-weather_data!D217</f>
        <v>1.1</v>
      </c>
      <c r="I217" s="10" t="n">
        <f aca="false">IF(OR(weather_data!H217="light rain",weather_data!H217="moderate rain",weather_data!H217="drizzle",weather_data!H217="thunderstorm"),1,0)</f>
        <v>1</v>
      </c>
      <c r="J217" s="10" t="n">
        <f aca="false">IF(weather_data!I217&gt;=25,1,0)</f>
        <v>0</v>
      </c>
    </row>
    <row r="218" customFormat="false" ht="15" hidden="false" customHeight="false" outlineLevel="0" collapsed="false">
      <c r="A218" s="8" t="n">
        <f aca="false">weather_data!B218</f>
        <v>45979.5138888889</v>
      </c>
      <c r="B218" s="9" t="n">
        <f aca="false">INT(A218)</f>
        <v>45979</v>
      </c>
      <c r="C218" s="10" t="str">
        <f aca="false">TEXT(B218,"yyyy-mm")</f>
        <v>2025-11</v>
      </c>
      <c r="D218" s="10" t="n">
        <f aca="false">MONTH(B218)</f>
        <v>11</v>
      </c>
      <c r="E218" s="10" t="str">
        <f aca="false">TEXT(B218,"mmmm")</f>
        <v>listopad</v>
      </c>
      <c r="F218" s="10" t="str">
        <f aca="false">"Q"&amp;ROUNDUP(D218/3,0)</f>
        <v>Q4</v>
      </c>
      <c r="G218" s="10" t="str">
        <f aca="false">IF(OR(D218=12,D218&lt;=2),"Winter",IF(D218&lt;=5,"Spring",IF(D218&lt;=8,"Summer","Autumn")))</f>
        <v>Autumn</v>
      </c>
      <c r="H218" s="11" t="n">
        <f aca="false">weather_data!E218-weather_data!D218</f>
        <v>-1.5</v>
      </c>
      <c r="I218" s="10" t="n">
        <f aca="false">IF(OR(weather_data!H218="light rain",weather_data!H218="moderate rain",weather_data!H218="drizzle",weather_data!H218="thunderstorm"),1,0)</f>
        <v>1</v>
      </c>
      <c r="J218" s="10" t="n">
        <f aca="false">IF(weather_data!I218&gt;=25,1,0)</f>
        <v>0</v>
      </c>
    </row>
    <row r="219" customFormat="false" ht="15" hidden="false" customHeight="false" outlineLevel="0" collapsed="false">
      <c r="A219" s="8" t="n">
        <f aca="false">weather_data!B219</f>
        <v>45980.4097222222</v>
      </c>
      <c r="B219" s="9" t="n">
        <f aca="false">INT(A219)</f>
        <v>45980</v>
      </c>
      <c r="C219" s="10" t="str">
        <f aca="false">TEXT(B219,"yyyy-mm")</f>
        <v>2025-11</v>
      </c>
      <c r="D219" s="10" t="n">
        <f aca="false">MONTH(B219)</f>
        <v>11</v>
      </c>
      <c r="E219" s="10" t="str">
        <f aca="false">TEXT(B219,"mmmm")</f>
        <v>listopad</v>
      </c>
      <c r="F219" s="10" t="str">
        <f aca="false">"Q"&amp;ROUNDUP(D219/3,0)</f>
        <v>Q4</v>
      </c>
      <c r="G219" s="10" t="str">
        <f aca="false">IF(OR(D219=12,D219&lt;=2),"Winter",IF(D219&lt;=5,"Spring",IF(D219&lt;=8,"Summer","Autumn")))</f>
        <v>Autumn</v>
      </c>
      <c r="H219" s="11" t="n">
        <f aca="false">weather_data!E219-weather_data!D219</f>
        <v>0.0999999999999996</v>
      </c>
      <c r="I219" s="10" t="n">
        <f aca="false">IF(OR(weather_data!H219="light rain",weather_data!H219="moderate rain",weather_data!H219="drizzle",weather_data!H219="thunderstorm"),1,0)</f>
        <v>0</v>
      </c>
      <c r="J219" s="10" t="n">
        <f aca="false">IF(weather_data!I219&gt;=25,1,0)</f>
        <v>0</v>
      </c>
    </row>
    <row r="220" customFormat="false" ht="15" hidden="false" customHeight="false" outlineLevel="0" collapsed="false">
      <c r="A220" s="8" t="n">
        <f aca="false">weather_data!B220</f>
        <v>45981.4652777778</v>
      </c>
      <c r="B220" s="9" t="n">
        <f aca="false">INT(A220)</f>
        <v>45981</v>
      </c>
      <c r="C220" s="10" t="str">
        <f aca="false">TEXT(B220,"yyyy-mm")</f>
        <v>2025-11</v>
      </c>
      <c r="D220" s="10" t="n">
        <f aca="false">MONTH(B220)</f>
        <v>11</v>
      </c>
      <c r="E220" s="10" t="str">
        <f aca="false">TEXT(B220,"mmmm")</f>
        <v>listopad</v>
      </c>
      <c r="F220" s="10" t="str">
        <f aca="false">"Q"&amp;ROUNDUP(D220/3,0)</f>
        <v>Q4</v>
      </c>
      <c r="G220" s="10" t="str">
        <f aca="false">IF(OR(D220=12,D220&lt;=2),"Winter",IF(D220&lt;=5,"Spring",IF(D220&lt;=8,"Summer","Autumn")))</f>
        <v>Autumn</v>
      </c>
      <c r="H220" s="11" t="n">
        <f aca="false">weather_data!E220-weather_data!D220</f>
        <v>0.5</v>
      </c>
      <c r="I220" s="10" t="n">
        <f aca="false">IF(OR(weather_data!H220="light rain",weather_data!H220="moderate rain",weather_data!H220="drizzle",weather_data!H220="thunderstorm"),1,0)</f>
        <v>0</v>
      </c>
      <c r="J220" s="10" t="n">
        <f aca="false">IF(weather_data!I220&gt;=25,1,0)</f>
        <v>0</v>
      </c>
    </row>
    <row r="221" customFormat="false" ht="15" hidden="false" customHeight="false" outlineLevel="0" collapsed="false">
      <c r="A221" s="8" t="n">
        <f aca="false">weather_data!B221</f>
        <v>45982.5347222222</v>
      </c>
      <c r="B221" s="9" t="n">
        <f aca="false">INT(A221)</f>
        <v>45982</v>
      </c>
      <c r="C221" s="10" t="str">
        <f aca="false">TEXT(B221,"yyyy-mm")</f>
        <v>2025-11</v>
      </c>
      <c r="D221" s="10" t="n">
        <f aca="false">MONTH(B221)</f>
        <v>11</v>
      </c>
      <c r="E221" s="10" t="str">
        <f aca="false">TEXT(B221,"mmmm")</f>
        <v>listopad</v>
      </c>
      <c r="F221" s="10" t="str">
        <f aca="false">"Q"&amp;ROUNDUP(D221/3,0)</f>
        <v>Q4</v>
      </c>
      <c r="G221" s="10" t="str">
        <f aca="false">IF(OR(D221=12,D221&lt;=2),"Winter",IF(D221&lt;=5,"Spring",IF(D221&lt;=8,"Summer","Autumn")))</f>
        <v>Autumn</v>
      </c>
      <c r="H221" s="11" t="n">
        <f aca="false">weather_data!E221-weather_data!D221</f>
        <v>0</v>
      </c>
      <c r="I221" s="10" t="n">
        <f aca="false">IF(OR(weather_data!H221="light rain",weather_data!H221="moderate rain",weather_data!H221="drizzle",weather_data!H221="thunderstorm"),1,0)</f>
        <v>1</v>
      </c>
      <c r="J221" s="10" t="n">
        <f aca="false">IF(weather_data!I221&gt;=25,1,0)</f>
        <v>0</v>
      </c>
    </row>
    <row r="222" customFormat="false" ht="15" hidden="false" customHeight="false" outlineLevel="0" collapsed="false">
      <c r="A222" s="8" t="n">
        <f aca="false">weather_data!B222</f>
        <v>45983.8888888889</v>
      </c>
      <c r="B222" s="9" t="n">
        <f aca="false">INT(A222)</f>
        <v>45983</v>
      </c>
      <c r="C222" s="10" t="str">
        <f aca="false">TEXT(B222,"yyyy-mm")</f>
        <v>2025-11</v>
      </c>
      <c r="D222" s="10" t="n">
        <f aca="false">MONTH(B222)</f>
        <v>11</v>
      </c>
      <c r="E222" s="10" t="str">
        <f aca="false">TEXT(B222,"mmmm")</f>
        <v>listopad</v>
      </c>
      <c r="F222" s="10" t="str">
        <f aca="false">"Q"&amp;ROUNDUP(D222/3,0)</f>
        <v>Q4</v>
      </c>
      <c r="G222" s="10" t="str">
        <f aca="false">IF(OR(D222=12,D222&lt;=2),"Winter",IF(D222&lt;=5,"Spring",IF(D222&lt;=8,"Summer","Autumn")))</f>
        <v>Autumn</v>
      </c>
      <c r="H222" s="11" t="n">
        <f aca="false">weather_data!E222-weather_data!D222</f>
        <v>0.199999999999999</v>
      </c>
      <c r="I222" s="10" t="n">
        <f aca="false">IF(OR(weather_data!H222="light rain",weather_data!H222="moderate rain",weather_data!H222="drizzle",weather_data!H222="thunderstorm"),1,0)</f>
        <v>0</v>
      </c>
      <c r="J222" s="10" t="n">
        <f aca="false">IF(weather_data!I222&gt;=25,1,0)</f>
        <v>0</v>
      </c>
    </row>
    <row r="223" customFormat="false" ht="15" hidden="false" customHeight="false" outlineLevel="0" collapsed="false">
      <c r="A223" s="8" t="n">
        <f aca="false">weather_data!B223</f>
        <v>45984.625</v>
      </c>
      <c r="B223" s="9" t="n">
        <f aca="false">INT(A223)</f>
        <v>45984</v>
      </c>
      <c r="C223" s="10" t="str">
        <f aca="false">TEXT(B223,"yyyy-mm")</f>
        <v>2025-11</v>
      </c>
      <c r="D223" s="10" t="n">
        <f aca="false">MONTH(B223)</f>
        <v>11</v>
      </c>
      <c r="E223" s="10" t="str">
        <f aca="false">TEXT(B223,"mmmm")</f>
        <v>listopad</v>
      </c>
      <c r="F223" s="10" t="str">
        <f aca="false">"Q"&amp;ROUNDUP(D223/3,0)</f>
        <v>Q4</v>
      </c>
      <c r="G223" s="10" t="str">
        <f aca="false">IF(OR(D223=12,D223&lt;=2),"Winter",IF(D223&lt;=5,"Spring",IF(D223&lt;=8,"Summer","Autumn")))</f>
        <v>Autumn</v>
      </c>
      <c r="H223" s="11" t="n">
        <f aca="false">weather_data!E223-weather_data!D223</f>
        <v>-0.4</v>
      </c>
      <c r="I223" s="10" t="n">
        <f aca="false">IF(OR(weather_data!H223="light rain",weather_data!H223="moderate rain",weather_data!H223="drizzle",weather_data!H223="thunderstorm"),1,0)</f>
        <v>0</v>
      </c>
      <c r="J223" s="10" t="n">
        <f aca="false">IF(weather_data!I223&gt;=25,1,0)</f>
        <v>0</v>
      </c>
    </row>
    <row r="224" customFormat="false" ht="15" hidden="false" customHeight="false" outlineLevel="0" collapsed="false">
      <c r="A224" s="8" t="n">
        <f aca="false">weather_data!B224</f>
        <v>45985.5138888889</v>
      </c>
      <c r="B224" s="9" t="n">
        <f aca="false">INT(A224)</f>
        <v>45985</v>
      </c>
      <c r="C224" s="10" t="str">
        <f aca="false">TEXT(B224,"yyyy-mm")</f>
        <v>2025-11</v>
      </c>
      <c r="D224" s="10" t="n">
        <f aca="false">MONTH(B224)</f>
        <v>11</v>
      </c>
      <c r="E224" s="10" t="str">
        <f aca="false">TEXT(B224,"mmmm")</f>
        <v>listopad</v>
      </c>
      <c r="F224" s="10" t="str">
        <f aca="false">"Q"&amp;ROUNDUP(D224/3,0)</f>
        <v>Q4</v>
      </c>
      <c r="G224" s="10" t="str">
        <f aca="false">IF(OR(D224=12,D224&lt;=2),"Winter",IF(D224&lt;=5,"Spring",IF(D224&lt;=8,"Summer","Autumn")))</f>
        <v>Autumn</v>
      </c>
      <c r="H224" s="11" t="n">
        <f aca="false">weather_data!E224-weather_data!D224</f>
        <v>1.2</v>
      </c>
      <c r="I224" s="10" t="n">
        <f aca="false">IF(OR(weather_data!H224="light rain",weather_data!H224="moderate rain",weather_data!H224="drizzle",weather_data!H224="thunderstorm"),1,0)</f>
        <v>0</v>
      </c>
      <c r="J224" s="10" t="n">
        <f aca="false">IF(weather_data!I224&gt;=25,1,0)</f>
        <v>0</v>
      </c>
    </row>
    <row r="225" customFormat="false" ht="15" hidden="false" customHeight="false" outlineLevel="0" collapsed="false">
      <c r="A225" s="8" t="n">
        <f aca="false">weather_data!B225</f>
        <v>45986.5555555556</v>
      </c>
      <c r="B225" s="9" t="n">
        <f aca="false">INT(A225)</f>
        <v>45986</v>
      </c>
      <c r="C225" s="10" t="str">
        <f aca="false">TEXT(B225,"yyyy-mm")</f>
        <v>2025-11</v>
      </c>
      <c r="D225" s="10" t="n">
        <f aca="false">MONTH(B225)</f>
        <v>11</v>
      </c>
      <c r="E225" s="10" t="str">
        <f aca="false">TEXT(B225,"mmmm")</f>
        <v>listopad</v>
      </c>
      <c r="F225" s="10" t="str">
        <f aca="false">"Q"&amp;ROUNDUP(D225/3,0)</f>
        <v>Q4</v>
      </c>
      <c r="G225" s="10" t="str">
        <f aca="false">IF(OR(D225=12,D225&lt;=2),"Winter",IF(D225&lt;=5,"Spring",IF(D225&lt;=8,"Summer","Autumn")))</f>
        <v>Autumn</v>
      </c>
      <c r="H225" s="11" t="n">
        <f aca="false">weather_data!E225-weather_data!D225</f>
        <v>-2.1</v>
      </c>
      <c r="I225" s="10" t="n">
        <f aca="false">IF(OR(weather_data!H225="light rain",weather_data!H225="moderate rain",weather_data!H225="drizzle",weather_data!H225="thunderstorm"),1,0)</f>
        <v>1</v>
      </c>
      <c r="J225" s="10" t="n">
        <f aca="false">IF(weather_data!I225&gt;=25,1,0)</f>
        <v>1</v>
      </c>
    </row>
    <row r="226" customFormat="false" ht="15" hidden="false" customHeight="false" outlineLevel="0" collapsed="false">
      <c r="A226" s="8" t="n">
        <f aca="false">weather_data!B226</f>
        <v>45987.4722222222</v>
      </c>
      <c r="B226" s="9" t="n">
        <f aca="false">INT(A226)</f>
        <v>45987</v>
      </c>
      <c r="C226" s="10" t="str">
        <f aca="false">TEXT(B226,"yyyy-mm")</f>
        <v>2025-11</v>
      </c>
      <c r="D226" s="10" t="n">
        <f aca="false">MONTH(B226)</f>
        <v>11</v>
      </c>
      <c r="E226" s="10" t="str">
        <f aca="false">TEXT(B226,"mmmm")</f>
        <v>listopad</v>
      </c>
      <c r="F226" s="10" t="str">
        <f aca="false">"Q"&amp;ROUNDUP(D226/3,0)</f>
        <v>Q4</v>
      </c>
      <c r="G226" s="10" t="str">
        <f aca="false">IF(OR(D226=12,D226&lt;=2),"Winter",IF(D226&lt;=5,"Spring",IF(D226&lt;=8,"Summer","Autumn")))</f>
        <v>Autumn</v>
      </c>
      <c r="H226" s="11" t="n">
        <f aca="false">weather_data!E226-weather_data!D226</f>
        <v>0.4</v>
      </c>
      <c r="I226" s="10" t="n">
        <f aca="false">IF(OR(weather_data!H226="light rain",weather_data!H226="moderate rain",weather_data!H226="drizzle",weather_data!H226="thunderstorm"),1,0)</f>
        <v>0</v>
      </c>
      <c r="J226" s="10" t="n">
        <f aca="false">IF(weather_data!I226&gt;=25,1,0)</f>
        <v>0</v>
      </c>
    </row>
    <row r="227" customFormat="false" ht="15" hidden="false" customHeight="false" outlineLevel="0" collapsed="false">
      <c r="A227" s="8" t="n">
        <f aca="false">weather_data!B227</f>
        <v>45988.2847222222</v>
      </c>
      <c r="B227" s="9" t="n">
        <f aca="false">INT(A227)</f>
        <v>45988</v>
      </c>
      <c r="C227" s="10" t="str">
        <f aca="false">TEXT(B227,"yyyy-mm")</f>
        <v>2025-11</v>
      </c>
      <c r="D227" s="10" t="n">
        <f aca="false">MONTH(B227)</f>
        <v>11</v>
      </c>
      <c r="E227" s="10" t="str">
        <f aca="false">TEXT(B227,"mmmm")</f>
        <v>listopad</v>
      </c>
      <c r="F227" s="10" t="str">
        <f aca="false">"Q"&amp;ROUNDUP(D227/3,0)</f>
        <v>Q4</v>
      </c>
      <c r="G227" s="10" t="str">
        <f aca="false">IF(OR(D227=12,D227&lt;=2),"Winter",IF(D227&lt;=5,"Spring",IF(D227&lt;=8,"Summer","Autumn")))</f>
        <v>Autumn</v>
      </c>
      <c r="H227" s="11" t="n">
        <f aca="false">weather_data!E227-weather_data!D227</f>
        <v>-0.800000000000001</v>
      </c>
      <c r="I227" s="10" t="n">
        <f aca="false">IF(OR(weather_data!H227="light rain",weather_data!H227="moderate rain",weather_data!H227="drizzle",weather_data!H227="thunderstorm"),1,0)</f>
        <v>0</v>
      </c>
      <c r="J227" s="10" t="n">
        <f aca="false">IF(weather_data!I227&gt;=25,1,0)</f>
        <v>0</v>
      </c>
    </row>
    <row r="228" customFormat="false" ht="15" hidden="false" customHeight="false" outlineLevel="0" collapsed="false">
      <c r="A228" s="8" t="n">
        <f aca="false">weather_data!B228</f>
        <v>45989.4305555556</v>
      </c>
      <c r="B228" s="9" t="n">
        <f aca="false">INT(A228)</f>
        <v>45989</v>
      </c>
      <c r="C228" s="10" t="str">
        <f aca="false">TEXT(B228,"yyyy-mm")</f>
        <v>2025-11</v>
      </c>
      <c r="D228" s="10" t="n">
        <f aca="false">MONTH(B228)</f>
        <v>11</v>
      </c>
      <c r="E228" s="10" t="str">
        <f aca="false">TEXT(B228,"mmmm")</f>
        <v>listopad</v>
      </c>
      <c r="F228" s="10" t="str">
        <f aca="false">"Q"&amp;ROUNDUP(D228/3,0)</f>
        <v>Q4</v>
      </c>
      <c r="G228" s="10" t="str">
        <f aca="false">IF(OR(D228=12,D228&lt;=2),"Winter",IF(D228&lt;=5,"Spring",IF(D228&lt;=8,"Summer","Autumn")))</f>
        <v>Autumn</v>
      </c>
      <c r="H228" s="11" t="n">
        <f aca="false">weather_data!E228-weather_data!D228</f>
        <v>-0.9</v>
      </c>
      <c r="I228" s="10" t="n">
        <f aca="false">IF(OR(weather_data!H228="light rain",weather_data!H228="moderate rain",weather_data!H228="drizzle",weather_data!H228="thunderstorm"),1,0)</f>
        <v>0</v>
      </c>
      <c r="J228" s="10" t="n">
        <f aca="false">IF(weather_data!I228&gt;=25,1,0)</f>
        <v>1</v>
      </c>
    </row>
    <row r="229" customFormat="false" ht="15" hidden="false" customHeight="false" outlineLevel="0" collapsed="false">
      <c r="A229" s="8" t="n">
        <f aca="false">weather_data!B229</f>
        <v>45990.2916666667</v>
      </c>
      <c r="B229" s="9" t="n">
        <f aca="false">INT(A229)</f>
        <v>45990</v>
      </c>
      <c r="C229" s="10" t="str">
        <f aca="false">TEXT(B229,"yyyy-mm")</f>
        <v>2025-11</v>
      </c>
      <c r="D229" s="10" t="n">
        <f aca="false">MONTH(B229)</f>
        <v>11</v>
      </c>
      <c r="E229" s="10" t="str">
        <f aca="false">TEXT(B229,"mmmm")</f>
        <v>listopad</v>
      </c>
      <c r="F229" s="10" t="str">
        <f aca="false">"Q"&amp;ROUNDUP(D229/3,0)</f>
        <v>Q4</v>
      </c>
      <c r="G229" s="10" t="str">
        <f aca="false">IF(OR(D229=12,D229&lt;=2),"Winter",IF(D229&lt;=5,"Spring",IF(D229&lt;=8,"Summer","Autumn")))</f>
        <v>Autumn</v>
      </c>
      <c r="H229" s="11" t="n">
        <f aca="false">weather_data!E229-weather_data!D229</f>
        <v>0.4</v>
      </c>
      <c r="I229" s="10" t="n">
        <f aca="false">IF(OR(weather_data!H229="light rain",weather_data!H229="moderate rain",weather_data!H229="drizzle",weather_data!H229="thunderstorm"),1,0)</f>
        <v>1</v>
      </c>
      <c r="J229" s="10" t="n">
        <f aca="false">IF(weather_data!I229&gt;=25,1,0)</f>
        <v>0</v>
      </c>
    </row>
    <row r="230" customFormat="false" ht="15" hidden="false" customHeight="false" outlineLevel="0" collapsed="false">
      <c r="A230" s="8" t="n">
        <f aca="false">weather_data!B230</f>
        <v>45991.6597222222</v>
      </c>
      <c r="B230" s="9" t="n">
        <f aca="false">INT(A230)</f>
        <v>45991</v>
      </c>
      <c r="C230" s="10" t="str">
        <f aca="false">TEXT(B230,"yyyy-mm")</f>
        <v>2025-11</v>
      </c>
      <c r="D230" s="10" t="n">
        <f aca="false">MONTH(B230)</f>
        <v>11</v>
      </c>
      <c r="E230" s="10" t="str">
        <f aca="false">TEXT(B230,"mmmm")</f>
        <v>listopad</v>
      </c>
      <c r="F230" s="10" t="str">
        <f aca="false">"Q"&amp;ROUNDUP(D230/3,0)</f>
        <v>Q4</v>
      </c>
      <c r="G230" s="10" t="str">
        <f aca="false">IF(OR(D230=12,D230&lt;=2),"Winter",IF(D230&lt;=5,"Spring",IF(D230&lt;=8,"Summer","Autumn")))</f>
        <v>Autumn</v>
      </c>
      <c r="H230" s="11" t="n">
        <f aca="false">weather_data!E230-weather_data!D230</f>
        <v>1.1</v>
      </c>
      <c r="I230" s="10" t="n">
        <f aca="false">IF(OR(weather_data!H230="light rain",weather_data!H230="moderate rain",weather_data!H230="drizzle",weather_data!H230="thunderstorm"),1,0)</f>
        <v>0</v>
      </c>
      <c r="J230" s="10" t="n">
        <f aca="false">IF(weather_data!I230&gt;=25,1,0)</f>
        <v>0</v>
      </c>
    </row>
    <row r="231" customFormat="false" ht="15" hidden="false" customHeight="false" outlineLevel="0" collapsed="false">
      <c r="A231" s="8" t="n">
        <f aca="false">weather_data!B231</f>
        <v>45992.4513888889</v>
      </c>
      <c r="B231" s="9" t="n">
        <f aca="false">INT(A231)</f>
        <v>45992</v>
      </c>
      <c r="C231" s="10" t="str">
        <f aca="false">TEXT(B231,"yyyy-mm")</f>
        <v>2025-12</v>
      </c>
      <c r="D231" s="10" t="n">
        <f aca="false">MONTH(B231)</f>
        <v>12</v>
      </c>
      <c r="E231" s="10" t="str">
        <f aca="false">TEXT(B231,"mmmm")</f>
        <v>grudzień</v>
      </c>
      <c r="F231" s="10" t="str">
        <f aca="false">"Q"&amp;ROUNDUP(D231/3,0)</f>
        <v>Q4</v>
      </c>
      <c r="G231" s="10" t="str">
        <f aca="false">IF(OR(D231=12,D231&lt;=2),"Winter",IF(D231&lt;=5,"Spring",IF(D231&lt;=8,"Summer","Autumn")))</f>
        <v>Winter</v>
      </c>
      <c r="H231" s="11" t="n">
        <f aca="false">weather_data!E231-weather_data!D231</f>
        <v>0</v>
      </c>
      <c r="I231" s="10" t="n">
        <f aca="false">IF(OR(weather_data!H231="light rain",weather_data!H231="moderate rain",weather_data!H231="drizzle",weather_data!H231="thunderstorm"),1,0)</f>
        <v>0</v>
      </c>
      <c r="J231" s="10" t="n">
        <f aca="false">IF(weather_data!I231&gt;=25,1,0)</f>
        <v>1</v>
      </c>
    </row>
    <row r="232" customFormat="false" ht="15" hidden="false" customHeight="false" outlineLevel="0" collapsed="false">
      <c r="A232" s="8" t="n">
        <f aca="false">weather_data!B232</f>
        <v>45993.875</v>
      </c>
      <c r="B232" s="9" t="n">
        <f aca="false">INT(A232)</f>
        <v>45993</v>
      </c>
      <c r="C232" s="10" t="str">
        <f aca="false">TEXT(B232,"yyyy-mm")</f>
        <v>2025-12</v>
      </c>
      <c r="D232" s="10" t="n">
        <f aca="false">MONTH(B232)</f>
        <v>12</v>
      </c>
      <c r="E232" s="10" t="str">
        <f aca="false">TEXT(B232,"mmmm")</f>
        <v>grudzień</v>
      </c>
      <c r="F232" s="10" t="str">
        <f aca="false">"Q"&amp;ROUNDUP(D232/3,0)</f>
        <v>Q4</v>
      </c>
      <c r="G232" s="10" t="str">
        <f aca="false">IF(OR(D232=12,D232&lt;=2),"Winter",IF(D232&lt;=5,"Spring",IF(D232&lt;=8,"Summer","Autumn")))</f>
        <v>Winter</v>
      </c>
      <c r="H232" s="11" t="n">
        <f aca="false">weather_data!E232-weather_data!D232</f>
        <v>0.199999999999999</v>
      </c>
      <c r="I232" s="10" t="n">
        <f aca="false">IF(OR(weather_data!H232="light rain",weather_data!H232="moderate rain",weather_data!H232="drizzle",weather_data!H232="thunderstorm"),1,0)</f>
        <v>0</v>
      </c>
      <c r="J232" s="10" t="n">
        <f aca="false">IF(weather_data!I232&gt;=25,1,0)</f>
        <v>0</v>
      </c>
    </row>
    <row r="233" customFormat="false" ht="15" hidden="false" customHeight="false" outlineLevel="0" collapsed="false">
      <c r="A233" s="8" t="n">
        <f aca="false">weather_data!B233</f>
        <v>45994.2777777778</v>
      </c>
      <c r="B233" s="9" t="n">
        <f aca="false">INT(A233)</f>
        <v>45994</v>
      </c>
      <c r="C233" s="10" t="str">
        <f aca="false">TEXT(B233,"yyyy-mm")</f>
        <v>2025-12</v>
      </c>
      <c r="D233" s="10" t="n">
        <f aca="false">MONTH(B233)</f>
        <v>12</v>
      </c>
      <c r="E233" s="10" t="str">
        <f aca="false">TEXT(B233,"mmmm")</f>
        <v>grudzień</v>
      </c>
      <c r="F233" s="10" t="str">
        <f aca="false">"Q"&amp;ROUNDUP(D233/3,0)</f>
        <v>Q4</v>
      </c>
      <c r="G233" s="10" t="str">
        <f aca="false">IF(OR(D233=12,D233&lt;=2),"Winter",IF(D233&lt;=5,"Spring",IF(D233&lt;=8,"Summer","Autumn")))</f>
        <v>Winter</v>
      </c>
      <c r="H233" s="11" t="n">
        <f aca="false">weather_data!E233-weather_data!D233</f>
        <v>1.1</v>
      </c>
      <c r="I233" s="10" t="n">
        <f aca="false">IF(OR(weather_data!H233="light rain",weather_data!H233="moderate rain",weather_data!H233="drizzle",weather_data!H233="thunderstorm"),1,0)</f>
        <v>0</v>
      </c>
      <c r="J233" s="10" t="n">
        <f aca="false">IF(weather_data!I233&gt;=25,1,0)</f>
        <v>0</v>
      </c>
    </row>
    <row r="234" customFormat="false" ht="15" hidden="false" customHeight="false" outlineLevel="0" collapsed="false">
      <c r="A234" s="8" t="n">
        <f aca="false">weather_data!B234</f>
        <v>45995.6458333333</v>
      </c>
      <c r="B234" s="9" t="n">
        <f aca="false">INT(A234)</f>
        <v>45995</v>
      </c>
      <c r="C234" s="10" t="str">
        <f aca="false">TEXT(B234,"yyyy-mm")</f>
        <v>2025-12</v>
      </c>
      <c r="D234" s="10" t="n">
        <f aca="false">MONTH(B234)</f>
        <v>12</v>
      </c>
      <c r="E234" s="10" t="str">
        <f aca="false">TEXT(B234,"mmmm")</f>
        <v>grudzień</v>
      </c>
      <c r="F234" s="10" t="str">
        <f aca="false">"Q"&amp;ROUNDUP(D234/3,0)</f>
        <v>Q4</v>
      </c>
      <c r="G234" s="10" t="str">
        <f aca="false">IF(OR(D234=12,D234&lt;=2),"Winter",IF(D234&lt;=5,"Spring",IF(D234&lt;=8,"Summer","Autumn")))</f>
        <v>Winter</v>
      </c>
      <c r="H234" s="11" t="n">
        <f aca="false">weather_data!E234-weather_data!D234</f>
        <v>0.300000000000001</v>
      </c>
      <c r="I234" s="10" t="n">
        <f aca="false">IF(OR(weather_data!H234="light rain",weather_data!H234="moderate rain",weather_data!H234="drizzle",weather_data!H234="thunderstorm"),1,0)</f>
        <v>1</v>
      </c>
      <c r="J234" s="10" t="n">
        <f aca="false">IF(weather_data!I234&gt;=25,1,0)</f>
        <v>0</v>
      </c>
    </row>
    <row r="235" customFormat="false" ht="15" hidden="false" customHeight="false" outlineLevel="0" collapsed="false">
      <c r="A235" s="8" t="n">
        <f aca="false">weather_data!B235</f>
        <v>45996.8958333333</v>
      </c>
      <c r="B235" s="9" t="n">
        <f aca="false">INT(A235)</f>
        <v>45996</v>
      </c>
      <c r="C235" s="10" t="str">
        <f aca="false">TEXT(B235,"yyyy-mm")</f>
        <v>2025-12</v>
      </c>
      <c r="D235" s="10" t="n">
        <f aca="false">MONTH(B235)</f>
        <v>12</v>
      </c>
      <c r="E235" s="10" t="str">
        <f aca="false">TEXT(B235,"mmmm")</f>
        <v>grudzień</v>
      </c>
      <c r="F235" s="10" t="str">
        <f aca="false">"Q"&amp;ROUNDUP(D235/3,0)</f>
        <v>Q4</v>
      </c>
      <c r="G235" s="10" t="str">
        <f aca="false">IF(OR(D235=12,D235&lt;=2),"Winter",IF(D235&lt;=5,"Spring",IF(D235&lt;=8,"Summer","Autumn")))</f>
        <v>Winter</v>
      </c>
      <c r="H235" s="11" t="n">
        <f aca="false">weather_data!E235-weather_data!D235</f>
        <v>0.5</v>
      </c>
      <c r="I235" s="10" t="n">
        <f aca="false">IF(OR(weather_data!H235="light rain",weather_data!H235="moderate rain",weather_data!H235="drizzle",weather_data!H235="thunderstorm"),1,0)</f>
        <v>0</v>
      </c>
      <c r="J235" s="10" t="n">
        <f aca="false">IF(weather_data!I235&gt;=25,1,0)</f>
        <v>0</v>
      </c>
    </row>
    <row r="236" customFormat="false" ht="15" hidden="false" customHeight="false" outlineLevel="0" collapsed="false">
      <c r="A236" s="8" t="n">
        <f aca="false">weather_data!B236</f>
        <v>45997.6736111111</v>
      </c>
      <c r="B236" s="9" t="n">
        <f aca="false">INT(A236)</f>
        <v>45997</v>
      </c>
      <c r="C236" s="10" t="str">
        <f aca="false">TEXT(B236,"yyyy-mm")</f>
        <v>2025-12</v>
      </c>
      <c r="D236" s="10" t="n">
        <f aca="false">MONTH(B236)</f>
        <v>12</v>
      </c>
      <c r="E236" s="10" t="str">
        <f aca="false">TEXT(B236,"mmmm")</f>
        <v>grudzień</v>
      </c>
      <c r="F236" s="10" t="str">
        <f aca="false">"Q"&amp;ROUNDUP(D236/3,0)</f>
        <v>Q4</v>
      </c>
      <c r="G236" s="10" t="str">
        <f aca="false">IF(OR(D236=12,D236&lt;=2),"Winter",IF(D236&lt;=5,"Spring",IF(D236&lt;=8,"Summer","Autumn")))</f>
        <v>Winter</v>
      </c>
      <c r="H236" s="11" t="n">
        <f aca="false">weather_data!E236-weather_data!D236</f>
        <v>0.900000000000002</v>
      </c>
      <c r="I236" s="10" t="n">
        <f aca="false">IF(OR(weather_data!H236="light rain",weather_data!H236="moderate rain",weather_data!H236="drizzle",weather_data!H236="thunderstorm"),1,0)</f>
        <v>0</v>
      </c>
      <c r="J236" s="10" t="n">
        <f aca="false">IF(weather_data!I236&gt;=25,1,0)</f>
        <v>0</v>
      </c>
    </row>
    <row r="237" customFormat="false" ht="15" hidden="false" customHeight="false" outlineLevel="0" collapsed="false">
      <c r="A237" s="8" t="n">
        <f aca="false">weather_data!B237</f>
        <v>45999.3055555556</v>
      </c>
      <c r="B237" s="9" t="n">
        <f aca="false">INT(A237)</f>
        <v>45999</v>
      </c>
      <c r="C237" s="10" t="str">
        <f aca="false">TEXT(B237,"yyyy-mm")</f>
        <v>2025-12</v>
      </c>
      <c r="D237" s="10" t="n">
        <f aca="false">MONTH(B237)</f>
        <v>12</v>
      </c>
      <c r="E237" s="10" t="str">
        <f aca="false">TEXT(B237,"mmmm")</f>
        <v>grudzień</v>
      </c>
      <c r="F237" s="10" t="str">
        <f aca="false">"Q"&amp;ROUNDUP(D237/3,0)</f>
        <v>Q4</v>
      </c>
      <c r="G237" s="10" t="str">
        <f aca="false">IF(OR(D237=12,D237&lt;=2),"Winter",IF(D237&lt;=5,"Spring",IF(D237&lt;=8,"Summer","Autumn")))</f>
        <v>Winter</v>
      </c>
      <c r="H237" s="11" t="n">
        <f aca="false">weather_data!E237-weather_data!D237</f>
        <v>0.200000000000001</v>
      </c>
      <c r="I237" s="10" t="n">
        <f aca="false">IF(OR(weather_data!H237="light rain",weather_data!H237="moderate rain",weather_data!H237="drizzle",weather_data!H237="thunderstorm"),1,0)</f>
        <v>0</v>
      </c>
      <c r="J237" s="10" t="n">
        <f aca="false">IF(weather_data!I237&gt;=25,1,0)</f>
        <v>0</v>
      </c>
    </row>
    <row r="238" customFormat="false" ht="15" hidden="false" customHeight="false" outlineLevel="0" collapsed="false">
      <c r="A238" s="8" t="n">
        <f aca="false">weather_data!B238</f>
        <v>46000.875</v>
      </c>
      <c r="B238" s="9" t="n">
        <f aca="false">INT(A238)</f>
        <v>46000</v>
      </c>
      <c r="C238" s="10" t="str">
        <f aca="false">TEXT(B238,"yyyy-mm")</f>
        <v>2025-12</v>
      </c>
      <c r="D238" s="10" t="n">
        <f aca="false">MONTH(B238)</f>
        <v>12</v>
      </c>
      <c r="E238" s="10" t="str">
        <f aca="false">TEXT(B238,"mmmm")</f>
        <v>grudzień</v>
      </c>
      <c r="F238" s="10" t="str">
        <f aca="false">"Q"&amp;ROUNDUP(D238/3,0)</f>
        <v>Q4</v>
      </c>
      <c r="G238" s="10" t="str">
        <f aca="false">IF(OR(D238=12,D238&lt;=2),"Winter",IF(D238&lt;=5,"Spring",IF(D238&lt;=8,"Summer","Autumn")))</f>
        <v>Winter</v>
      </c>
      <c r="H238" s="11" t="n">
        <f aca="false">weather_data!E238-weather_data!D238</f>
        <v>0.699999999999999</v>
      </c>
      <c r="I238" s="10" t="n">
        <f aca="false">IF(OR(weather_data!H238="light rain",weather_data!H238="moderate rain",weather_data!H238="drizzle",weather_data!H238="thunderstorm"),1,0)</f>
        <v>1</v>
      </c>
      <c r="J238" s="10" t="n">
        <f aca="false">IF(weather_data!I238&gt;=25,1,0)</f>
        <v>0</v>
      </c>
    </row>
    <row r="239" customFormat="false" ht="15" hidden="false" customHeight="false" outlineLevel="0" collapsed="false">
      <c r="A239" s="8" t="n">
        <f aca="false">weather_data!B239</f>
        <v>46001.3541666667</v>
      </c>
      <c r="B239" s="9" t="n">
        <f aca="false">INT(A239)</f>
        <v>46001</v>
      </c>
      <c r="C239" s="10" t="str">
        <f aca="false">TEXT(B239,"yyyy-mm")</f>
        <v>2025-12</v>
      </c>
      <c r="D239" s="10" t="n">
        <f aca="false">MONTH(B239)</f>
        <v>12</v>
      </c>
      <c r="E239" s="10" t="str">
        <f aca="false">TEXT(B239,"mmmm")</f>
        <v>grudzień</v>
      </c>
      <c r="F239" s="10" t="str">
        <f aca="false">"Q"&amp;ROUNDUP(D239/3,0)</f>
        <v>Q4</v>
      </c>
      <c r="G239" s="10" t="str">
        <f aca="false">IF(OR(D239=12,D239&lt;=2),"Winter",IF(D239&lt;=5,"Spring",IF(D239&lt;=8,"Summer","Autumn")))</f>
        <v>Winter</v>
      </c>
      <c r="H239" s="11" t="n">
        <f aca="false">weather_data!E239-weather_data!D239</f>
        <v>-2.1</v>
      </c>
      <c r="I239" s="10" t="n">
        <f aca="false">IF(OR(weather_data!H239="light rain",weather_data!H239="moderate rain",weather_data!H239="drizzle",weather_data!H239="thunderstorm"),1,0)</f>
        <v>1</v>
      </c>
      <c r="J239" s="10" t="n">
        <f aca="false">IF(weather_data!I239&gt;=25,1,0)</f>
        <v>1</v>
      </c>
    </row>
    <row r="240" customFormat="false" ht="15" hidden="false" customHeight="false" outlineLevel="0" collapsed="false">
      <c r="A240" s="8" t="n">
        <f aca="false">weather_data!B240</f>
        <v>46002.875</v>
      </c>
      <c r="B240" s="9" t="n">
        <f aca="false">INT(A240)</f>
        <v>46002</v>
      </c>
      <c r="C240" s="10" t="str">
        <f aca="false">TEXT(B240,"yyyy-mm")</f>
        <v>2025-12</v>
      </c>
      <c r="D240" s="10" t="n">
        <f aca="false">MONTH(B240)</f>
        <v>12</v>
      </c>
      <c r="E240" s="10" t="str">
        <f aca="false">TEXT(B240,"mmmm")</f>
        <v>grudzień</v>
      </c>
      <c r="F240" s="10" t="str">
        <f aca="false">"Q"&amp;ROUNDUP(D240/3,0)</f>
        <v>Q4</v>
      </c>
      <c r="G240" s="10" t="str">
        <f aca="false">IF(OR(D240=12,D240&lt;=2),"Winter",IF(D240&lt;=5,"Spring",IF(D240&lt;=8,"Summer","Autumn")))</f>
        <v>Winter</v>
      </c>
      <c r="H240" s="11" t="n">
        <f aca="false">weather_data!E240-weather_data!D240</f>
        <v>-0.5</v>
      </c>
      <c r="I240" s="10" t="n">
        <f aca="false">IF(OR(weather_data!H240="light rain",weather_data!H240="moderate rain",weather_data!H240="drizzle",weather_data!H240="thunderstorm"),1,0)</f>
        <v>0</v>
      </c>
      <c r="J240" s="10" t="n">
        <f aca="false">IF(weather_data!I240&gt;=25,1,0)</f>
        <v>0</v>
      </c>
    </row>
    <row r="241" customFormat="false" ht="15" hidden="false" customHeight="false" outlineLevel="0" collapsed="false">
      <c r="A241" s="8" t="n">
        <f aca="false">weather_data!B241</f>
        <v>46003.2986111111</v>
      </c>
      <c r="B241" s="9" t="n">
        <f aca="false">INT(A241)</f>
        <v>46003</v>
      </c>
      <c r="C241" s="10" t="str">
        <f aca="false">TEXT(B241,"yyyy-mm")</f>
        <v>2025-12</v>
      </c>
      <c r="D241" s="10" t="n">
        <f aca="false">MONTH(B241)</f>
        <v>12</v>
      </c>
      <c r="E241" s="10" t="str">
        <f aca="false">TEXT(B241,"mmmm")</f>
        <v>grudzień</v>
      </c>
      <c r="F241" s="10" t="str">
        <f aca="false">"Q"&amp;ROUNDUP(D241/3,0)</f>
        <v>Q4</v>
      </c>
      <c r="G241" s="10" t="str">
        <f aca="false">IF(OR(D241=12,D241&lt;=2),"Winter",IF(D241&lt;=5,"Spring",IF(D241&lt;=8,"Summer","Autumn")))</f>
        <v>Winter</v>
      </c>
      <c r="H241" s="11" t="n">
        <f aca="false">weather_data!E241-weather_data!D241</f>
        <v>-0.5</v>
      </c>
      <c r="I241" s="10" t="n">
        <f aca="false">IF(OR(weather_data!H241="light rain",weather_data!H241="moderate rain",weather_data!H241="drizzle",weather_data!H241="thunderstorm"),1,0)</f>
        <v>0</v>
      </c>
      <c r="J241" s="10" t="n">
        <f aca="false">IF(weather_data!I241&gt;=25,1,0)</f>
        <v>0</v>
      </c>
    </row>
    <row r="242" customFormat="false" ht="15" hidden="false" customHeight="false" outlineLevel="0" collapsed="false">
      <c r="A242" s="8" t="n">
        <f aca="false">weather_data!B242</f>
        <v>46004.4444444445</v>
      </c>
      <c r="B242" s="9" t="n">
        <f aca="false">INT(A242)</f>
        <v>46004</v>
      </c>
      <c r="C242" s="10" t="str">
        <f aca="false">TEXT(B242,"yyyy-mm")</f>
        <v>2025-12</v>
      </c>
      <c r="D242" s="10" t="n">
        <f aca="false">MONTH(B242)</f>
        <v>12</v>
      </c>
      <c r="E242" s="10" t="str">
        <f aca="false">TEXT(B242,"mmmm")</f>
        <v>grudzień</v>
      </c>
      <c r="F242" s="10" t="str">
        <f aca="false">"Q"&amp;ROUNDUP(D242/3,0)</f>
        <v>Q4</v>
      </c>
      <c r="G242" s="10" t="str">
        <f aca="false">IF(OR(D242=12,D242&lt;=2),"Winter",IF(D242&lt;=5,"Spring",IF(D242&lt;=8,"Summer","Autumn")))</f>
        <v>Winter</v>
      </c>
      <c r="H242" s="11" t="n">
        <f aca="false">weather_data!E242-weather_data!D242</f>
        <v>-1.3</v>
      </c>
      <c r="I242" s="10" t="n">
        <f aca="false">IF(OR(weather_data!H242="light rain",weather_data!H242="moderate rain",weather_data!H242="drizzle",weather_data!H242="thunderstorm"),1,0)</f>
        <v>0</v>
      </c>
      <c r="J242" s="10" t="n">
        <f aca="false">IF(weather_data!I242&gt;=25,1,0)</f>
        <v>0</v>
      </c>
    </row>
    <row r="243" customFormat="false" ht="15" hidden="false" customHeight="false" outlineLevel="0" collapsed="false">
      <c r="A243" s="8" t="n">
        <f aca="false">weather_data!B243</f>
        <v>46005.625</v>
      </c>
      <c r="B243" s="9" t="n">
        <f aca="false">INT(A243)</f>
        <v>46005</v>
      </c>
      <c r="C243" s="10" t="str">
        <f aca="false">TEXT(B243,"yyyy-mm")</f>
        <v>2025-12</v>
      </c>
      <c r="D243" s="10" t="n">
        <f aca="false">MONTH(B243)</f>
        <v>12</v>
      </c>
      <c r="E243" s="10" t="str">
        <f aca="false">TEXT(B243,"mmmm")</f>
        <v>grudzień</v>
      </c>
      <c r="F243" s="10" t="str">
        <f aca="false">"Q"&amp;ROUNDUP(D243/3,0)</f>
        <v>Q4</v>
      </c>
      <c r="G243" s="10" t="str">
        <f aca="false">IF(OR(D243=12,D243&lt;=2),"Winter",IF(D243&lt;=5,"Spring",IF(D243&lt;=8,"Summer","Autumn")))</f>
        <v>Winter</v>
      </c>
      <c r="H243" s="11" t="n">
        <f aca="false">weather_data!E243-weather_data!D243</f>
        <v>1.1</v>
      </c>
      <c r="I243" s="10" t="n">
        <f aca="false">IF(OR(weather_data!H243="light rain",weather_data!H243="moderate rain",weather_data!H243="drizzle",weather_data!H243="thunderstorm"),1,0)</f>
        <v>0</v>
      </c>
      <c r="J243" s="10" t="n">
        <f aca="false">IF(weather_data!I243&gt;=25,1,0)</f>
        <v>1</v>
      </c>
    </row>
    <row r="244" customFormat="false" ht="15" hidden="false" customHeight="false" outlineLevel="0" collapsed="false">
      <c r="A244" s="8" t="n">
        <f aca="false">weather_data!B244</f>
        <v>46006.5416666667</v>
      </c>
      <c r="B244" s="9" t="n">
        <f aca="false">INT(A244)</f>
        <v>46006</v>
      </c>
      <c r="C244" s="10" t="str">
        <f aca="false">TEXT(B244,"yyyy-mm")</f>
        <v>2025-12</v>
      </c>
      <c r="D244" s="10" t="n">
        <f aca="false">MONTH(B244)</f>
        <v>12</v>
      </c>
      <c r="E244" s="10" t="str">
        <f aca="false">TEXT(B244,"mmmm")</f>
        <v>grudzień</v>
      </c>
      <c r="F244" s="10" t="str">
        <f aca="false">"Q"&amp;ROUNDUP(D244/3,0)</f>
        <v>Q4</v>
      </c>
      <c r="G244" s="10" t="str">
        <f aca="false">IF(OR(D244=12,D244&lt;=2),"Winter",IF(D244&lt;=5,"Spring",IF(D244&lt;=8,"Summer","Autumn")))</f>
        <v>Winter</v>
      </c>
      <c r="H244" s="11" t="n">
        <f aca="false">weather_data!E244-weather_data!D244</f>
        <v>0.200000000000001</v>
      </c>
      <c r="I244" s="10" t="n">
        <f aca="false">IF(OR(weather_data!H244="light rain",weather_data!H244="moderate rain",weather_data!H244="drizzle",weather_data!H244="thunderstorm"),1,0)</f>
        <v>0</v>
      </c>
      <c r="J244" s="10" t="n">
        <f aca="false">IF(weather_data!I244&gt;=25,1,0)</f>
        <v>0</v>
      </c>
    </row>
    <row r="245" customFormat="false" ht="15" hidden="false" customHeight="false" outlineLevel="0" collapsed="false">
      <c r="A245" s="8" t="n">
        <f aca="false">weather_data!B245</f>
        <v>46007.8194444445</v>
      </c>
      <c r="B245" s="9" t="n">
        <f aca="false">INT(A245)</f>
        <v>46007</v>
      </c>
      <c r="C245" s="10" t="str">
        <f aca="false">TEXT(B245,"yyyy-mm")</f>
        <v>2025-12</v>
      </c>
      <c r="D245" s="10" t="n">
        <f aca="false">MONTH(B245)</f>
        <v>12</v>
      </c>
      <c r="E245" s="10" t="str">
        <f aca="false">TEXT(B245,"mmmm")</f>
        <v>grudzień</v>
      </c>
      <c r="F245" s="10" t="str">
        <f aca="false">"Q"&amp;ROUNDUP(D245/3,0)</f>
        <v>Q4</v>
      </c>
      <c r="G245" s="10" t="str">
        <f aca="false">IF(OR(D245=12,D245&lt;=2),"Winter",IF(D245&lt;=5,"Spring",IF(D245&lt;=8,"Summer","Autumn")))</f>
        <v>Winter</v>
      </c>
      <c r="H245" s="11" t="n">
        <f aca="false">weather_data!E245-weather_data!D245</f>
        <v>0.4</v>
      </c>
      <c r="I245" s="10" t="n">
        <f aca="false">IF(OR(weather_data!H245="light rain",weather_data!H245="moderate rain",weather_data!H245="drizzle",weather_data!H245="thunderstorm"),1,0)</f>
        <v>0</v>
      </c>
      <c r="J245" s="10" t="n">
        <f aca="false">IF(weather_data!I245&gt;=25,1,0)</f>
        <v>0</v>
      </c>
    </row>
    <row r="246" customFormat="false" ht="15" hidden="false" customHeight="false" outlineLevel="0" collapsed="false">
      <c r="A246" s="8" t="n">
        <f aca="false">weather_data!B246</f>
        <v>46008.5694444445</v>
      </c>
      <c r="B246" s="9" t="n">
        <f aca="false">INT(A246)</f>
        <v>46008</v>
      </c>
      <c r="C246" s="10" t="str">
        <f aca="false">TEXT(B246,"yyyy-mm")</f>
        <v>2025-12</v>
      </c>
      <c r="D246" s="10" t="n">
        <f aca="false">MONTH(B246)</f>
        <v>12</v>
      </c>
      <c r="E246" s="10" t="str">
        <f aca="false">TEXT(B246,"mmmm")</f>
        <v>grudzień</v>
      </c>
      <c r="F246" s="10" t="str">
        <f aca="false">"Q"&amp;ROUNDUP(D246/3,0)</f>
        <v>Q4</v>
      </c>
      <c r="G246" s="10" t="str">
        <f aca="false">IF(OR(D246=12,D246&lt;=2),"Winter",IF(D246&lt;=5,"Spring",IF(D246&lt;=8,"Summer","Autumn")))</f>
        <v>Winter</v>
      </c>
      <c r="H246" s="11" t="n">
        <f aca="false">weather_data!E246-weather_data!D246</f>
        <v>-0.699999999999999</v>
      </c>
      <c r="I246" s="10" t="n">
        <f aca="false">IF(OR(weather_data!H246="light rain",weather_data!H246="moderate rain",weather_data!H246="drizzle",weather_data!H246="thunderstorm"),1,0)</f>
        <v>0</v>
      </c>
      <c r="J246" s="10" t="n">
        <f aca="false">IF(weather_data!I246&gt;=25,1,0)</f>
        <v>0</v>
      </c>
    </row>
    <row r="247" customFormat="false" ht="15" hidden="false" customHeight="false" outlineLevel="0" collapsed="false">
      <c r="A247" s="8" t="n">
        <f aca="false">weather_data!B247</f>
        <v>46009.7708333333</v>
      </c>
      <c r="B247" s="9" t="n">
        <f aca="false">INT(A247)</f>
        <v>46009</v>
      </c>
      <c r="C247" s="10" t="str">
        <f aca="false">TEXT(B247,"yyyy-mm")</f>
        <v>2025-12</v>
      </c>
      <c r="D247" s="10" t="n">
        <f aca="false">MONTH(B247)</f>
        <v>12</v>
      </c>
      <c r="E247" s="10" t="str">
        <f aca="false">TEXT(B247,"mmmm")</f>
        <v>grudzień</v>
      </c>
      <c r="F247" s="10" t="str">
        <f aca="false">"Q"&amp;ROUNDUP(D247/3,0)</f>
        <v>Q4</v>
      </c>
      <c r="G247" s="10" t="str">
        <f aca="false">IF(OR(D247=12,D247&lt;=2),"Winter",IF(D247&lt;=5,"Spring",IF(D247&lt;=8,"Summer","Autumn")))</f>
        <v>Winter</v>
      </c>
      <c r="H247" s="11" t="n">
        <f aca="false">weather_data!E247-weather_data!D247</f>
        <v>0.600000000000001</v>
      </c>
      <c r="I247" s="10" t="n">
        <f aca="false">IF(OR(weather_data!H247="light rain",weather_data!H247="moderate rain",weather_data!H247="drizzle",weather_data!H247="thunderstorm"),1,0)</f>
        <v>1</v>
      </c>
      <c r="J247" s="10" t="n">
        <f aca="false">IF(weather_data!I247&gt;=25,1,0)</f>
        <v>1</v>
      </c>
    </row>
    <row r="248" customFormat="false" ht="15" hidden="false" customHeight="false" outlineLevel="0" collapsed="false">
      <c r="A248" s="8" t="n">
        <f aca="false">weather_data!B248</f>
        <v>46010.8472222222</v>
      </c>
      <c r="B248" s="9" t="n">
        <f aca="false">INT(A248)</f>
        <v>46010</v>
      </c>
      <c r="C248" s="10" t="str">
        <f aca="false">TEXT(B248,"yyyy-mm")</f>
        <v>2025-12</v>
      </c>
      <c r="D248" s="10" t="n">
        <f aca="false">MONTH(B248)</f>
        <v>12</v>
      </c>
      <c r="E248" s="10" t="str">
        <f aca="false">TEXT(B248,"mmmm")</f>
        <v>grudzień</v>
      </c>
      <c r="F248" s="10" t="str">
        <f aca="false">"Q"&amp;ROUNDUP(D248/3,0)</f>
        <v>Q4</v>
      </c>
      <c r="G248" s="10" t="str">
        <f aca="false">IF(OR(D248=12,D248&lt;=2),"Winter",IF(D248&lt;=5,"Spring",IF(D248&lt;=8,"Summer","Autumn")))</f>
        <v>Winter</v>
      </c>
      <c r="H248" s="11" t="n">
        <f aca="false">weather_data!E248-weather_data!D248</f>
        <v>-0.300000000000001</v>
      </c>
      <c r="I248" s="10" t="n">
        <f aca="false">IF(OR(weather_data!H248="light rain",weather_data!H248="moderate rain",weather_data!H248="drizzle",weather_data!H248="thunderstorm"),1,0)</f>
        <v>0</v>
      </c>
      <c r="J248" s="10" t="n">
        <f aca="false">IF(weather_data!I248&gt;=25,1,0)</f>
        <v>0</v>
      </c>
    </row>
    <row r="249" customFormat="false" ht="15" hidden="false" customHeight="false" outlineLevel="0" collapsed="false">
      <c r="A249" s="8" t="n">
        <f aca="false">weather_data!B249</f>
        <v>46011.8055555556</v>
      </c>
      <c r="B249" s="9" t="n">
        <f aca="false">INT(A249)</f>
        <v>46011</v>
      </c>
      <c r="C249" s="10" t="str">
        <f aca="false">TEXT(B249,"yyyy-mm")</f>
        <v>2025-12</v>
      </c>
      <c r="D249" s="10" t="n">
        <f aca="false">MONTH(B249)</f>
        <v>12</v>
      </c>
      <c r="E249" s="10" t="str">
        <f aca="false">TEXT(B249,"mmmm")</f>
        <v>grudzień</v>
      </c>
      <c r="F249" s="10" t="str">
        <f aca="false">"Q"&amp;ROUNDUP(D249/3,0)</f>
        <v>Q4</v>
      </c>
      <c r="G249" s="10" t="str">
        <f aca="false">IF(OR(D249=12,D249&lt;=2),"Winter",IF(D249&lt;=5,"Spring",IF(D249&lt;=8,"Summer","Autumn")))</f>
        <v>Winter</v>
      </c>
      <c r="H249" s="11" t="n">
        <f aca="false">weather_data!E249-weather_data!D249</f>
        <v>0.399999999999999</v>
      </c>
      <c r="I249" s="10" t="n">
        <f aca="false">IF(OR(weather_data!H249="light rain",weather_data!H249="moderate rain",weather_data!H249="drizzle",weather_data!H249="thunderstorm"),1,0)</f>
        <v>1</v>
      </c>
      <c r="J249" s="10" t="n">
        <f aca="false">IF(weather_data!I249&gt;=25,1,0)</f>
        <v>1</v>
      </c>
    </row>
    <row r="250" customFormat="false" ht="15" hidden="false" customHeight="false" outlineLevel="0" collapsed="false">
      <c r="A250" s="8" t="n">
        <f aca="false">weather_data!B250</f>
        <v>46012.3194444445</v>
      </c>
      <c r="B250" s="9" t="n">
        <f aca="false">INT(A250)</f>
        <v>46012</v>
      </c>
      <c r="C250" s="10" t="str">
        <f aca="false">TEXT(B250,"yyyy-mm")</f>
        <v>2025-12</v>
      </c>
      <c r="D250" s="10" t="n">
        <f aca="false">MONTH(B250)</f>
        <v>12</v>
      </c>
      <c r="E250" s="10" t="str">
        <f aca="false">TEXT(B250,"mmmm")</f>
        <v>grudzień</v>
      </c>
      <c r="F250" s="10" t="str">
        <f aca="false">"Q"&amp;ROUNDUP(D250/3,0)</f>
        <v>Q4</v>
      </c>
      <c r="G250" s="10" t="str">
        <f aca="false">IF(OR(D250=12,D250&lt;=2),"Winter",IF(D250&lt;=5,"Spring",IF(D250&lt;=8,"Summer","Autumn")))</f>
        <v>Winter</v>
      </c>
      <c r="H250" s="11" t="n">
        <f aca="false">weather_data!E250-weather_data!D250</f>
        <v>-1.3</v>
      </c>
      <c r="I250" s="10" t="n">
        <f aca="false">IF(OR(weather_data!H250="light rain",weather_data!H250="moderate rain",weather_data!H250="drizzle",weather_data!H250="thunderstorm"),1,0)</f>
        <v>1</v>
      </c>
      <c r="J250" s="10" t="n">
        <f aca="false">IF(weather_data!I250&gt;=25,1,0)</f>
        <v>1</v>
      </c>
    </row>
    <row r="251" customFormat="false" ht="15" hidden="false" customHeight="false" outlineLevel="0" collapsed="false">
      <c r="A251" s="8" t="n">
        <f aca="false">weather_data!B251</f>
        <v>46013.3819444445</v>
      </c>
      <c r="B251" s="9" t="n">
        <f aca="false">INT(A251)</f>
        <v>46013</v>
      </c>
      <c r="C251" s="10" t="str">
        <f aca="false">TEXT(B251,"yyyy-mm")</f>
        <v>2025-12</v>
      </c>
      <c r="D251" s="10" t="n">
        <f aca="false">MONTH(B251)</f>
        <v>12</v>
      </c>
      <c r="E251" s="10" t="str">
        <f aca="false">TEXT(B251,"mmmm")</f>
        <v>grudzień</v>
      </c>
      <c r="F251" s="10" t="str">
        <f aca="false">"Q"&amp;ROUNDUP(D251/3,0)</f>
        <v>Q4</v>
      </c>
      <c r="G251" s="10" t="str">
        <f aca="false">IF(OR(D251=12,D251&lt;=2),"Winter",IF(D251&lt;=5,"Spring",IF(D251&lt;=8,"Summer","Autumn")))</f>
        <v>Winter</v>
      </c>
      <c r="H251" s="11" t="n">
        <f aca="false">weather_data!E251-weather_data!D251</f>
        <v>1.2</v>
      </c>
      <c r="I251" s="10" t="n">
        <f aca="false">IF(OR(weather_data!H251="light rain",weather_data!H251="moderate rain",weather_data!H251="drizzle",weather_data!H251="thunderstorm"),1,0)</f>
        <v>1</v>
      </c>
      <c r="J251" s="10" t="n">
        <f aca="false">IF(weather_data!I251&gt;=25,1,0)</f>
        <v>0</v>
      </c>
    </row>
    <row r="252" customFormat="false" ht="15" hidden="false" customHeight="false" outlineLevel="0" collapsed="false">
      <c r="A252" s="8" t="n">
        <f aca="false">weather_data!B252</f>
        <v>46014.5138888889</v>
      </c>
      <c r="B252" s="9" t="n">
        <f aca="false">INT(A252)</f>
        <v>46014</v>
      </c>
      <c r="C252" s="10" t="str">
        <f aca="false">TEXT(B252,"yyyy-mm")</f>
        <v>2025-12</v>
      </c>
      <c r="D252" s="10" t="n">
        <f aca="false">MONTH(B252)</f>
        <v>12</v>
      </c>
      <c r="E252" s="10" t="str">
        <f aca="false">TEXT(B252,"mmmm")</f>
        <v>grudzień</v>
      </c>
      <c r="F252" s="10" t="str">
        <f aca="false">"Q"&amp;ROUNDUP(D252/3,0)</f>
        <v>Q4</v>
      </c>
      <c r="G252" s="10" t="str">
        <f aca="false">IF(OR(D252=12,D252&lt;=2),"Winter",IF(D252&lt;=5,"Spring",IF(D252&lt;=8,"Summer","Autumn")))</f>
        <v>Winter</v>
      </c>
      <c r="H252" s="11" t="n">
        <f aca="false">weather_data!E252-weather_data!D252</f>
        <v>0.6</v>
      </c>
      <c r="I252" s="10" t="n">
        <f aca="false">IF(OR(weather_data!H252="light rain",weather_data!H252="moderate rain",weather_data!H252="drizzle",weather_data!H252="thunderstorm"),1,0)</f>
        <v>0</v>
      </c>
      <c r="J252" s="10" t="n">
        <f aca="false">IF(weather_data!I252&gt;=25,1,0)</f>
        <v>0</v>
      </c>
    </row>
    <row r="253" customFormat="false" ht="15" hidden="false" customHeight="false" outlineLevel="0" collapsed="false">
      <c r="A253" s="8" t="n">
        <f aca="false">weather_data!B253</f>
        <v>46015.3402777778</v>
      </c>
      <c r="B253" s="9" t="n">
        <f aca="false">INT(A253)</f>
        <v>46015</v>
      </c>
      <c r="C253" s="10" t="str">
        <f aca="false">TEXT(B253,"yyyy-mm")</f>
        <v>2025-12</v>
      </c>
      <c r="D253" s="10" t="n">
        <f aca="false">MONTH(B253)</f>
        <v>12</v>
      </c>
      <c r="E253" s="10" t="str">
        <f aca="false">TEXT(B253,"mmmm")</f>
        <v>grudzień</v>
      </c>
      <c r="F253" s="10" t="str">
        <f aca="false">"Q"&amp;ROUNDUP(D253/3,0)</f>
        <v>Q4</v>
      </c>
      <c r="G253" s="10" t="str">
        <f aca="false">IF(OR(D253=12,D253&lt;=2),"Winter",IF(D253&lt;=5,"Spring",IF(D253&lt;=8,"Summer","Autumn")))</f>
        <v>Winter</v>
      </c>
      <c r="H253" s="11" t="n">
        <f aca="false">weather_data!E253-weather_data!D253</f>
        <v>-0.300000000000001</v>
      </c>
      <c r="I253" s="10" t="n">
        <f aca="false">IF(OR(weather_data!H253="light rain",weather_data!H253="moderate rain",weather_data!H253="drizzle",weather_data!H253="thunderstorm"),1,0)</f>
        <v>0</v>
      </c>
      <c r="J253" s="10" t="n">
        <f aca="false">IF(weather_data!I253&gt;=25,1,0)</f>
        <v>0</v>
      </c>
    </row>
    <row r="254" customFormat="false" ht="15" hidden="false" customHeight="false" outlineLevel="0" collapsed="false">
      <c r="A254" s="8" t="n">
        <f aca="false">weather_data!B254</f>
        <v>46016.5486111111</v>
      </c>
      <c r="B254" s="9" t="n">
        <f aca="false">INT(A254)</f>
        <v>46016</v>
      </c>
      <c r="C254" s="10" t="str">
        <f aca="false">TEXT(B254,"yyyy-mm")</f>
        <v>2025-12</v>
      </c>
      <c r="D254" s="10" t="n">
        <f aca="false">MONTH(B254)</f>
        <v>12</v>
      </c>
      <c r="E254" s="10" t="str">
        <f aca="false">TEXT(B254,"mmmm")</f>
        <v>grudzień</v>
      </c>
      <c r="F254" s="10" t="str">
        <f aca="false">"Q"&amp;ROUNDUP(D254/3,0)</f>
        <v>Q4</v>
      </c>
      <c r="G254" s="10" t="str">
        <f aca="false">IF(OR(D254=12,D254&lt;=2),"Winter",IF(D254&lt;=5,"Spring",IF(D254&lt;=8,"Summer","Autumn")))</f>
        <v>Winter</v>
      </c>
      <c r="H254" s="11" t="n">
        <f aca="false">weather_data!E254-weather_data!D254</f>
        <v>-1.4</v>
      </c>
      <c r="I254" s="10" t="n">
        <f aca="false">IF(OR(weather_data!H254="light rain",weather_data!H254="moderate rain",weather_data!H254="drizzle",weather_data!H254="thunderstorm"),1,0)</f>
        <v>0</v>
      </c>
      <c r="J254" s="10" t="n">
        <f aca="false">IF(weather_data!I254&gt;=25,1,0)</f>
        <v>0</v>
      </c>
    </row>
    <row r="255" customFormat="false" ht="15" hidden="false" customHeight="false" outlineLevel="0" collapsed="false">
      <c r="A255" s="8" t="n">
        <f aca="false">weather_data!B255</f>
        <v>46017.3402777778</v>
      </c>
      <c r="B255" s="9" t="n">
        <f aca="false">INT(A255)</f>
        <v>46017</v>
      </c>
      <c r="C255" s="10" t="str">
        <f aca="false">TEXT(B255,"yyyy-mm")</f>
        <v>2025-12</v>
      </c>
      <c r="D255" s="10" t="n">
        <f aca="false">MONTH(B255)</f>
        <v>12</v>
      </c>
      <c r="E255" s="10" t="str">
        <f aca="false">TEXT(B255,"mmmm")</f>
        <v>grudzień</v>
      </c>
      <c r="F255" s="10" t="str">
        <f aca="false">"Q"&amp;ROUNDUP(D255/3,0)</f>
        <v>Q4</v>
      </c>
      <c r="G255" s="10" t="str">
        <f aca="false">IF(OR(D255=12,D255&lt;=2),"Winter",IF(D255&lt;=5,"Spring",IF(D255&lt;=8,"Summer","Autumn")))</f>
        <v>Winter</v>
      </c>
      <c r="H255" s="11" t="n">
        <f aca="false">weather_data!E255-weather_data!D255</f>
        <v>-0.6</v>
      </c>
      <c r="I255" s="10" t="n">
        <f aca="false">IF(OR(weather_data!H255="light rain",weather_data!H255="moderate rain",weather_data!H255="drizzle",weather_data!H255="thunderstorm"),1,0)</f>
        <v>1</v>
      </c>
      <c r="J255" s="10" t="n">
        <f aca="false">IF(weather_data!I255&gt;=25,1,0)</f>
        <v>0</v>
      </c>
    </row>
    <row r="256" customFormat="false" ht="15" hidden="false" customHeight="false" outlineLevel="0" collapsed="false">
      <c r="A256" s="8" t="n">
        <f aca="false">weather_data!B256</f>
        <v>46018.2708333333</v>
      </c>
      <c r="B256" s="9" t="n">
        <f aca="false">INT(A256)</f>
        <v>46018</v>
      </c>
      <c r="C256" s="10" t="str">
        <f aca="false">TEXT(B256,"yyyy-mm")</f>
        <v>2025-12</v>
      </c>
      <c r="D256" s="10" t="n">
        <f aca="false">MONTH(B256)</f>
        <v>12</v>
      </c>
      <c r="E256" s="10" t="str">
        <f aca="false">TEXT(B256,"mmmm")</f>
        <v>grudzień</v>
      </c>
      <c r="F256" s="10" t="str">
        <f aca="false">"Q"&amp;ROUNDUP(D256/3,0)</f>
        <v>Q4</v>
      </c>
      <c r="G256" s="10" t="str">
        <f aca="false">IF(OR(D256=12,D256&lt;=2),"Winter",IF(D256&lt;=5,"Spring",IF(D256&lt;=8,"Summer","Autumn")))</f>
        <v>Winter</v>
      </c>
      <c r="H256" s="11" t="n">
        <f aca="false">weather_data!E256-weather_data!D256</f>
        <v>-0.699999999999999</v>
      </c>
      <c r="I256" s="10" t="n">
        <f aca="false">IF(OR(weather_data!H256="light rain",weather_data!H256="moderate rain",weather_data!H256="drizzle",weather_data!H256="thunderstorm"),1,0)</f>
        <v>1</v>
      </c>
      <c r="J256" s="10" t="n">
        <f aca="false">IF(weather_data!I256&gt;=25,1,0)</f>
        <v>0</v>
      </c>
    </row>
    <row r="257" customFormat="false" ht="15" hidden="false" customHeight="false" outlineLevel="0" collapsed="false">
      <c r="A257" s="8" t="n">
        <f aca="false">weather_data!B257</f>
        <v>46019.8680555556</v>
      </c>
      <c r="B257" s="9" t="n">
        <f aca="false">INT(A257)</f>
        <v>46019</v>
      </c>
      <c r="C257" s="10" t="str">
        <f aca="false">TEXT(B257,"yyyy-mm")</f>
        <v>2025-12</v>
      </c>
      <c r="D257" s="10" t="n">
        <f aca="false">MONTH(B257)</f>
        <v>12</v>
      </c>
      <c r="E257" s="10" t="str">
        <f aca="false">TEXT(B257,"mmmm")</f>
        <v>grudzień</v>
      </c>
      <c r="F257" s="10" t="str">
        <f aca="false">"Q"&amp;ROUNDUP(D257/3,0)</f>
        <v>Q4</v>
      </c>
      <c r="G257" s="10" t="str">
        <f aca="false">IF(OR(D257=12,D257&lt;=2),"Winter",IF(D257&lt;=5,"Spring",IF(D257&lt;=8,"Summer","Autumn")))</f>
        <v>Winter</v>
      </c>
      <c r="H257" s="11" t="n">
        <f aca="false">weather_data!E257-weather_data!D257</f>
        <v>0.899999999999999</v>
      </c>
      <c r="I257" s="10" t="n">
        <f aca="false">IF(OR(weather_data!H257="light rain",weather_data!H257="moderate rain",weather_data!H257="drizzle",weather_data!H257="thunderstorm"),1,0)</f>
        <v>1</v>
      </c>
      <c r="J257" s="10" t="n">
        <f aca="false">IF(weather_data!I257&gt;=25,1,0)</f>
        <v>0</v>
      </c>
    </row>
    <row r="258" customFormat="false" ht="15" hidden="false" customHeight="false" outlineLevel="0" collapsed="false">
      <c r="A258" s="8" t="n">
        <f aca="false">weather_data!B258</f>
        <v>46020.8888888889</v>
      </c>
      <c r="B258" s="9" t="n">
        <f aca="false">INT(A258)</f>
        <v>46020</v>
      </c>
      <c r="C258" s="10" t="str">
        <f aca="false">TEXT(B258,"yyyy-mm")</f>
        <v>2025-12</v>
      </c>
      <c r="D258" s="10" t="n">
        <f aca="false">MONTH(B258)</f>
        <v>12</v>
      </c>
      <c r="E258" s="10" t="str">
        <f aca="false">TEXT(B258,"mmmm")</f>
        <v>grudzień</v>
      </c>
      <c r="F258" s="10" t="str">
        <f aca="false">"Q"&amp;ROUNDUP(D258/3,0)</f>
        <v>Q4</v>
      </c>
      <c r="G258" s="10" t="str">
        <f aca="false">IF(OR(D258=12,D258&lt;=2),"Winter",IF(D258&lt;=5,"Spring",IF(D258&lt;=8,"Summer","Autumn")))</f>
        <v>Winter</v>
      </c>
      <c r="H258" s="11" t="n">
        <f aca="false">weather_data!E258-weather_data!D258</f>
        <v>1.2</v>
      </c>
      <c r="I258" s="10" t="n">
        <f aca="false">IF(OR(weather_data!H258="light rain",weather_data!H258="moderate rain",weather_data!H258="drizzle",weather_data!H258="thunderstorm"),1,0)</f>
        <v>0</v>
      </c>
      <c r="J258" s="10" t="n">
        <f aca="false">IF(weather_data!I258&gt;=25,1,0)</f>
        <v>0</v>
      </c>
    </row>
    <row r="259" customFormat="false" ht="15" hidden="false" customHeight="false" outlineLevel="0" collapsed="false">
      <c r="A259" s="8" t="n">
        <f aca="false">weather_data!B259</f>
        <v>46021.2986111111</v>
      </c>
      <c r="B259" s="9" t="n">
        <f aca="false">INT(A259)</f>
        <v>46021</v>
      </c>
      <c r="C259" s="10" t="str">
        <f aca="false">TEXT(B259,"yyyy-mm")</f>
        <v>2025-12</v>
      </c>
      <c r="D259" s="10" t="n">
        <f aca="false">MONTH(B259)</f>
        <v>12</v>
      </c>
      <c r="E259" s="10" t="str">
        <f aca="false">TEXT(B259,"mmmm")</f>
        <v>grudzień</v>
      </c>
      <c r="F259" s="10" t="str">
        <f aca="false">"Q"&amp;ROUNDUP(D259/3,0)</f>
        <v>Q4</v>
      </c>
      <c r="G259" s="10" t="str">
        <f aca="false">IF(OR(D259=12,D259&lt;=2),"Winter",IF(D259&lt;=5,"Spring",IF(D259&lt;=8,"Summer","Autumn")))</f>
        <v>Winter</v>
      </c>
      <c r="H259" s="11" t="n">
        <f aca="false">weather_data!E259-weather_data!D259</f>
        <v>-0.4</v>
      </c>
      <c r="I259" s="10" t="n">
        <f aca="false">IF(OR(weather_data!H259="light rain",weather_data!H259="moderate rain",weather_data!H259="drizzle",weather_data!H259="thunderstorm"),1,0)</f>
        <v>0</v>
      </c>
      <c r="J259" s="10" t="n">
        <f aca="false">IF(weather_data!I259&gt;=25,1,0)</f>
        <v>0</v>
      </c>
    </row>
    <row r="260" customFormat="false" ht="15" hidden="false" customHeight="false" outlineLevel="0" collapsed="false">
      <c r="A260" s="8" t="n">
        <f aca="false">weather_data!B260</f>
        <v>46022.6597222222</v>
      </c>
      <c r="B260" s="9" t="n">
        <f aca="false">INT(A260)</f>
        <v>46022</v>
      </c>
      <c r="C260" s="10" t="str">
        <f aca="false">TEXT(B260,"yyyy-mm")</f>
        <v>2025-12</v>
      </c>
      <c r="D260" s="10" t="n">
        <f aca="false">MONTH(B260)</f>
        <v>12</v>
      </c>
      <c r="E260" s="10" t="str">
        <f aca="false">TEXT(B260,"mmmm")</f>
        <v>grudzień</v>
      </c>
      <c r="F260" s="10" t="str">
        <f aca="false">"Q"&amp;ROUNDUP(D260/3,0)</f>
        <v>Q4</v>
      </c>
      <c r="G260" s="10" t="str">
        <f aca="false">IF(OR(D260=12,D260&lt;=2),"Winter",IF(D260&lt;=5,"Spring",IF(D260&lt;=8,"Summer","Autumn")))</f>
        <v>Winter</v>
      </c>
      <c r="H260" s="11" t="n">
        <f aca="false">weather_data!E260-weather_data!D260</f>
        <v>0.299999999999999</v>
      </c>
      <c r="I260" s="10" t="n">
        <f aca="false">IF(OR(weather_data!H260="light rain",weather_data!H260="moderate rain",weather_data!H260="drizzle",weather_data!H260="thunderstorm"),1,0)</f>
        <v>0</v>
      </c>
      <c r="J260" s="10" t="n">
        <f aca="false">IF(weather_data!I260&gt;=25,1,0)</f>
        <v>0</v>
      </c>
    </row>
    <row r="261" customFormat="false" ht="15" hidden="false" customHeight="false" outlineLevel="0" collapsed="false">
      <c r="A261" s="8" t="n">
        <f aca="false">weather_data!B261</f>
        <v>46023.6597222222</v>
      </c>
      <c r="B261" s="9" t="n">
        <f aca="false">INT(A261)</f>
        <v>46023</v>
      </c>
      <c r="C261" s="10" t="str">
        <f aca="false">TEXT(B261,"yyyy-mm")</f>
        <v>2026-01</v>
      </c>
      <c r="D261" s="10" t="n">
        <f aca="false">MONTH(B261)</f>
        <v>1</v>
      </c>
      <c r="E261" s="10" t="str">
        <f aca="false">TEXT(B261,"mmmm")</f>
        <v>styczeń</v>
      </c>
      <c r="F261" s="10" t="str">
        <f aca="false">"Q"&amp;ROUNDUP(D261/3,0)</f>
        <v>Q1</v>
      </c>
      <c r="G261" s="10" t="str">
        <f aca="false">IF(OR(D261=12,D261&lt;=2),"Winter",IF(D261&lt;=5,"Spring",IF(D261&lt;=8,"Summer","Autumn")))</f>
        <v>Winter</v>
      </c>
      <c r="H261" s="11" t="n">
        <f aca="false">weather_data!E261-weather_data!D261</f>
        <v>0.4</v>
      </c>
      <c r="I261" s="10" t="n">
        <f aca="false">IF(OR(weather_data!H261="light rain",weather_data!H261="moderate rain",weather_data!H261="drizzle",weather_data!H261="thunderstorm"),1,0)</f>
        <v>1</v>
      </c>
      <c r="J261" s="10" t="n">
        <f aca="false">IF(weather_data!I261&gt;=25,1,0)</f>
        <v>1</v>
      </c>
    </row>
    <row r="262" customFormat="false" ht="15" hidden="false" customHeight="false" outlineLevel="0" collapsed="false">
      <c r="A262" s="8" t="n">
        <f aca="false">weather_data!B262</f>
        <v>46024.8333333333</v>
      </c>
      <c r="B262" s="9" t="n">
        <f aca="false">INT(A262)</f>
        <v>46024</v>
      </c>
      <c r="C262" s="10" t="str">
        <f aca="false">TEXT(B262,"yyyy-mm")</f>
        <v>2026-01</v>
      </c>
      <c r="D262" s="10" t="n">
        <f aca="false">MONTH(B262)</f>
        <v>1</v>
      </c>
      <c r="E262" s="10" t="str">
        <f aca="false">TEXT(B262,"mmmm")</f>
        <v>styczeń</v>
      </c>
      <c r="F262" s="10" t="str">
        <f aca="false">"Q"&amp;ROUNDUP(D262/3,0)</f>
        <v>Q1</v>
      </c>
      <c r="G262" s="10" t="str">
        <f aca="false">IF(OR(D262=12,D262&lt;=2),"Winter",IF(D262&lt;=5,"Spring",IF(D262&lt;=8,"Summer","Autumn")))</f>
        <v>Winter</v>
      </c>
      <c r="H262" s="11" t="n">
        <f aca="false">weather_data!E262-weather_data!D262</f>
        <v>1</v>
      </c>
      <c r="I262" s="10" t="n">
        <f aca="false">IF(OR(weather_data!H262="light rain",weather_data!H262="moderate rain",weather_data!H262="drizzle",weather_data!H262="thunderstorm"),1,0)</f>
        <v>1</v>
      </c>
      <c r="J262" s="10" t="n">
        <f aca="false">IF(weather_data!I262&gt;=25,1,0)</f>
        <v>0</v>
      </c>
    </row>
    <row r="263" customFormat="false" ht="15" hidden="false" customHeight="false" outlineLevel="0" collapsed="false">
      <c r="A263" s="8" t="n">
        <f aca="false">weather_data!B263</f>
        <v>46025.5555555556</v>
      </c>
      <c r="B263" s="9" t="n">
        <f aca="false">INT(A263)</f>
        <v>46025</v>
      </c>
      <c r="C263" s="10" t="str">
        <f aca="false">TEXT(B263,"yyyy-mm")</f>
        <v>2026-01</v>
      </c>
      <c r="D263" s="10" t="n">
        <f aca="false">MONTH(B263)</f>
        <v>1</v>
      </c>
      <c r="E263" s="10" t="str">
        <f aca="false">TEXT(B263,"mmmm")</f>
        <v>styczeń</v>
      </c>
      <c r="F263" s="10" t="str">
        <f aca="false">"Q"&amp;ROUNDUP(D263/3,0)</f>
        <v>Q1</v>
      </c>
      <c r="G263" s="10" t="str">
        <f aca="false">IF(OR(D263=12,D263&lt;=2),"Winter",IF(D263&lt;=5,"Spring",IF(D263&lt;=8,"Summer","Autumn")))</f>
        <v>Winter</v>
      </c>
      <c r="H263" s="11" t="n">
        <f aca="false">weather_data!E263-weather_data!D263</f>
        <v>-0.7</v>
      </c>
      <c r="I263" s="10" t="n">
        <f aca="false">IF(OR(weather_data!H263="light rain",weather_data!H263="moderate rain",weather_data!H263="drizzle",weather_data!H263="thunderstorm"),1,0)</f>
        <v>0</v>
      </c>
      <c r="J263" s="10" t="n">
        <f aca="false">IF(weather_data!I263&gt;=25,1,0)</f>
        <v>0</v>
      </c>
    </row>
    <row r="264" customFormat="false" ht="15" hidden="false" customHeight="false" outlineLevel="0" collapsed="false">
      <c r="A264" s="8" t="n">
        <f aca="false">weather_data!B264</f>
        <v>46026.5208333333</v>
      </c>
      <c r="B264" s="9" t="n">
        <f aca="false">INT(A264)</f>
        <v>46026</v>
      </c>
      <c r="C264" s="10" t="str">
        <f aca="false">TEXT(B264,"yyyy-mm")</f>
        <v>2026-01</v>
      </c>
      <c r="D264" s="10" t="n">
        <f aca="false">MONTH(B264)</f>
        <v>1</v>
      </c>
      <c r="E264" s="10" t="str">
        <f aca="false">TEXT(B264,"mmmm")</f>
        <v>styczeń</v>
      </c>
      <c r="F264" s="10" t="str">
        <f aca="false">"Q"&amp;ROUNDUP(D264/3,0)</f>
        <v>Q1</v>
      </c>
      <c r="G264" s="10" t="str">
        <f aca="false">IF(OR(D264=12,D264&lt;=2),"Winter",IF(D264&lt;=5,"Spring",IF(D264&lt;=8,"Summer","Autumn")))</f>
        <v>Winter</v>
      </c>
      <c r="H264" s="11" t="n">
        <f aca="false">weather_data!E264-weather_data!D264</f>
        <v>0.5</v>
      </c>
      <c r="I264" s="10" t="n">
        <f aca="false">IF(OR(weather_data!H264="light rain",weather_data!H264="moderate rain",weather_data!H264="drizzle",weather_data!H264="thunderstorm"),1,0)</f>
        <v>0</v>
      </c>
      <c r="J264" s="10" t="n">
        <f aca="false">IF(weather_data!I264&gt;=25,1,0)</f>
        <v>0</v>
      </c>
    </row>
    <row r="265" customFormat="false" ht="15" hidden="false" customHeight="false" outlineLevel="0" collapsed="false">
      <c r="A265" s="8" t="n">
        <f aca="false">weather_data!B265</f>
        <v>46027.4027777778</v>
      </c>
      <c r="B265" s="9" t="n">
        <f aca="false">INT(A265)</f>
        <v>46027</v>
      </c>
      <c r="C265" s="10" t="str">
        <f aca="false">TEXT(B265,"yyyy-mm")</f>
        <v>2026-01</v>
      </c>
      <c r="D265" s="10" t="n">
        <f aca="false">MONTH(B265)</f>
        <v>1</v>
      </c>
      <c r="E265" s="10" t="str">
        <f aca="false">TEXT(B265,"mmmm")</f>
        <v>styczeń</v>
      </c>
      <c r="F265" s="10" t="str">
        <f aca="false">"Q"&amp;ROUNDUP(D265/3,0)</f>
        <v>Q1</v>
      </c>
      <c r="G265" s="10" t="str">
        <f aca="false">IF(OR(D265=12,D265&lt;=2),"Winter",IF(D265&lt;=5,"Spring",IF(D265&lt;=8,"Summer","Autumn")))</f>
        <v>Winter</v>
      </c>
      <c r="H265" s="11" t="n">
        <f aca="false">weather_data!E265-weather_data!D265</f>
        <v>-0.9</v>
      </c>
      <c r="I265" s="10" t="n">
        <f aca="false">IF(OR(weather_data!H265="light rain",weather_data!H265="moderate rain",weather_data!H265="drizzle",weather_data!H265="thunderstorm"),1,0)</f>
        <v>0</v>
      </c>
      <c r="J265" s="10" t="n">
        <f aca="false">IF(weather_data!I265&gt;=25,1,0)</f>
        <v>0</v>
      </c>
    </row>
    <row r="266" customFormat="false" ht="15" hidden="false" customHeight="false" outlineLevel="0" collapsed="false">
      <c r="A266" s="8" t="n">
        <f aca="false">weather_data!B266</f>
        <v>46028.5763888889</v>
      </c>
      <c r="B266" s="9" t="n">
        <f aca="false">INT(A266)</f>
        <v>46028</v>
      </c>
      <c r="C266" s="10" t="str">
        <f aca="false">TEXT(B266,"yyyy-mm")</f>
        <v>2026-01</v>
      </c>
      <c r="D266" s="10" t="n">
        <f aca="false">MONTH(B266)</f>
        <v>1</v>
      </c>
      <c r="E266" s="10" t="str">
        <f aca="false">TEXT(B266,"mmmm")</f>
        <v>styczeń</v>
      </c>
      <c r="F266" s="10" t="str">
        <f aca="false">"Q"&amp;ROUNDUP(D266/3,0)</f>
        <v>Q1</v>
      </c>
      <c r="G266" s="10" t="str">
        <f aca="false">IF(OR(D266=12,D266&lt;=2),"Winter",IF(D266&lt;=5,"Spring",IF(D266&lt;=8,"Summer","Autumn")))</f>
        <v>Winter</v>
      </c>
      <c r="H266" s="11" t="n">
        <f aca="false">weather_data!E266-weather_data!D266</f>
        <v>-1.6</v>
      </c>
      <c r="I266" s="10" t="n">
        <f aca="false">IF(OR(weather_data!H266="light rain",weather_data!H266="moderate rain",weather_data!H266="drizzle",weather_data!H266="thunderstorm"),1,0)</f>
        <v>0</v>
      </c>
      <c r="J266" s="10" t="n">
        <f aca="false">IF(weather_data!I266&gt;=25,1,0)</f>
        <v>1</v>
      </c>
    </row>
    <row r="267" customFormat="false" ht="15" hidden="false" customHeight="false" outlineLevel="0" collapsed="false">
      <c r="A267" s="8" t="n">
        <f aca="false">weather_data!B267</f>
        <v>46029.4305555556</v>
      </c>
      <c r="B267" s="9" t="n">
        <f aca="false">INT(A267)</f>
        <v>46029</v>
      </c>
      <c r="C267" s="10" t="str">
        <f aca="false">TEXT(B267,"yyyy-mm")</f>
        <v>2026-01</v>
      </c>
      <c r="D267" s="10" t="n">
        <f aca="false">MONTH(B267)</f>
        <v>1</v>
      </c>
      <c r="E267" s="10" t="str">
        <f aca="false">TEXT(B267,"mmmm")</f>
        <v>styczeń</v>
      </c>
      <c r="F267" s="10" t="str">
        <f aca="false">"Q"&amp;ROUNDUP(D267/3,0)</f>
        <v>Q1</v>
      </c>
      <c r="G267" s="10" t="str">
        <f aca="false">IF(OR(D267=12,D267&lt;=2),"Winter",IF(D267&lt;=5,"Spring",IF(D267&lt;=8,"Summer","Autumn")))</f>
        <v>Winter</v>
      </c>
      <c r="H267" s="11" t="n">
        <f aca="false">weather_data!E267-weather_data!D267</f>
        <v>-1.3</v>
      </c>
      <c r="I267" s="10" t="n">
        <f aca="false">IF(OR(weather_data!H267="light rain",weather_data!H267="moderate rain",weather_data!H267="drizzle",weather_data!H267="thunderstorm"),1,0)</f>
        <v>0</v>
      </c>
      <c r="J267" s="10" t="n">
        <f aca="false">IF(weather_data!I267&gt;=25,1,0)</f>
        <v>1</v>
      </c>
    </row>
    <row r="268" customFormat="false" ht="15" hidden="false" customHeight="false" outlineLevel="0" collapsed="false">
      <c r="A268" s="8" t="n">
        <f aca="false">weather_data!B268</f>
        <v>46030.4166666667</v>
      </c>
      <c r="B268" s="9" t="n">
        <f aca="false">INT(A268)</f>
        <v>46030</v>
      </c>
      <c r="C268" s="10" t="str">
        <f aca="false">TEXT(B268,"yyyy-mm")</f>
        <v>2026-01</v>
      </c>
      <c r="D268" s="10" t="n">
        <f aca="false">MONTH(B268)</f>
        <v>1</v>
      </c>
      <c r="E268" s="10" t="str">
        <f aca="false">TEXT(B268,"mmmm")</f>
        <v>styczeń</v>
      </c>
      <c r="F268" s="10" t="str">
        <f aca="false">"Q"&amp;ROUNDUP(D268/3,0)</f>
        <v>Q1</v>
      </c>
      <c r="G268" s="10" t="str">
        <f aca="false">IF(OR(D268=12,D268&lt;=2),"Winter",IF(D268&lt;=5,"Spring",IF(D268&lt;=8,"Summer","Autumn")))</f>
        <v>Winter</v>
      </c>
      <c r="H268" s="11" t="n">
        <f aca="false">weather_data!E268-weather_data!D268</f>
        <v>-1</v>
      </c>
      <c r="I268" s="10" t="n">
        <f aca="false">IF(OR(weather_data!H268="light rain",weather_data!H268="moderate rain",weather_data!H268="drizzle",weather_data!H268="thunderstorm"),1,0)</f>
        <v>0</v>
      </c>
      <c r="J268" s="10" t="n">
        <f aca="false">IF(weather_data!I268&gt;=25,1,0)</f>
        <v>0</v>
      </c>
    </row>
    <row r="269" customFormat="false" ht="15" hidden="false" customHeight="false" outlineLevel="0" collapsed="false">
      <c r="A269" s="8" t="n">
        <f aca="false">weather_data!B269</f>
        <v>46031.2986111111</v>
      </c>
      <c r="B269" s="9" t="n">
        <f aca="false">INT(A269)</f>
        <v>46031</v>
      </c>
      <c r="C269" s="10" t="str">
        <f aca="false">TEXT(B269,"yyyy-mm")</f>
        <v>2026-01</v>
      </c>
      <c r="D269" s="10" t="n">
        <f aca="false">MONTH(B269)</f>
        <v>1</v>
      </c>
      <c r="E269" s="10" t="str">
        <f aca="false">TEXT(B269,"mmmm")</f>
        <v>styczeń</v>
      </c>
      <c r="F269" s="10" t="str">
        <f aca="false">"Q"&amp;ROUNDUP(D269/3,0)</f>
        <v>Q1</v>
      </c>
      <c r="G269" s="10" t="str">
        <f aca="false">IF(OR(D269=12,D269&lt;=2),"Winter",IF(D269&lt;=5,"Spring",IF(D269&lt;=8,"Summer","Autumn")))</f>
        <v>Winter</v>
      </c>
      <c r="H269" s="11" t="n">
        <f aca="false">weather_data!E269-weather_data!D269</f>
        <v>-0.300000000000001</v>
      </c>
      <c r="I269" s="10" t="n">
        <f aca="false">IF(OR(weather_data!H269="light rain",weather_data!H269="moderate rain",weather_data!H269="drizzle",weather_data!H269="thunderstorm"),1,0)</f>
        <v>0</v>
      </c>
      <c r="J269" s="10" t="n">
        <f aca="false">IF(weather_data!I269&gt;=25,1,0)</f>
        <v>0</v>
      </c>
    </row>
    <row r="270" customFormat="false" ht="15" hidden="false" customHeight="false" outlineLevel="0" collapsed="false">
      <c r="A270" s="8" t="n">
        <f aca="false">weather_data!B270</f>
        <v>46032.6527777778</v>
      </c>
      <c r="B270" s="9" t="n">
        <f aca="false">INT(A270)</f>
        <v>46032</v>
      </c>
      <c r="C270" s="10" t="str">
        <f aca="false">TEXT(B270,"yyyy-mm")</f>
        <v>2026-01</v>
      </c>
      <c r="D270" s="10" t="n">
        <f aca="false">MONTH(B270)</f>
        <v>1</v>
      </c>
      <c r="E270" s="10" t="str">
        <f aca="false">TEXT(B270,"mmmm")</f>
        <v>styczeń</v>
      </c>
      <c r="F270" s="10" t="str">
        <f aca="false">"Q"&amp;ROUNDUP(D270/3,0)</f>
        <v>Q1</v>
      </c>
      <c r="G270" s="10" t="str">
        <f aca="false">IF(OR(D270=12,D270&lt;=2),"Winter",IF(D270&lt;=5,"Spring",IF(D270&lt;=8,"Summer","Autumn")))</f>
        <v>Winter</v>
      </c>
      <c r="H270" s="11" t="n">
        <f aca="false">weather_data!E270-weather_data!D270</f>
        <v>-0.9</v>
      </c>
      <c r="I270" s="10" t="n">
        <f aca="false">IF(OR(weather_data!H270="light rain",weather_data!H270="moderate rain",weather_data!H270="drizzle",weather_data!H270="thunderstorm"),1,0)</f>
        <v>1</v>
      </c>
      <c r="J270" s="10" t="n">
        <f aca="false">IF(weather_data!I270&gt;=25,1,0)</f>
        <v>0</v>
      </c>
    </row>
    <row r="271" customFormat="false" ht="15" hidden="false" customHeight="false" outlineLevel="0" collapsed="false">
      <c r="A271" s="8" t="n">
        <f aca="false">weather_data!B271</f>
        <v>46033.6458333333</v>
      </c>
      <c r="B271" s="9" t="n">
        <f aca="false">INT(A271)</f>
        <v>46033</v>
      </c>
      <c r="C271" s="10" t="str">
        <f aca="false">TEXT(B271,"yyyy-mm")</f>
        <v>2026-01</v>
      </c>
      <c r="D271" s="10" t="n">
        <f aca="false">MONTH(B271)</f>
        <v>1</v>
      </c>
      <c r="E271" s="10" t="str">
        <f aca="false">TEXT(B271,"mmmm")</f>
        <v>styczeń</v>
      </c>
      <c r="F271" s="10" t="str">
        <f aca="false">"Q"&amp;ROUNDUP(D271/3,0)</f>
        <v>Q1</v>
      </c>
      <c r="G271" s="10" t="str">
        <f aca="false">IF(OR(D271=12,D271&lt;=2),"Winter",IF(D271&lt;=5,"Spring",IF(D271&lt;=8,"Summer","Autumn")))</f>
        <v>Winter</v>
      </c>
      <c r="H271" s="11" t="n">
        <f aca="false">weather_data!E271-weather_data!D271</f>
        <v>0</v>
      </c>
      <c r="I271" s="10" t="n">
        <f aca="false">IF(OR(weather_data!H271="light rain",weather_data!H271="moderate rain",weather_data!H271="drizzle",weather_data!H271="thunderstorm"),1,0)</f>
        <v>0</v>
      </c>
      <c r="J271" s="10" t="n">
        <f aca="false">IF(weather_data!I271&gt;=25,1,0)</f>
        <v>0</v>
      </c>
    </row>
    <row r="272" customFormat="false" ht="15" hidden="false" customHeight="false" outlineLevel="0" collapsed="false">
      <c r="A272" s="8" t="n">
        <f aca="false">weather_data!B272</f>
        <v>46034.3958333333</v>
      </c>
      <c r="B272" s="9" t="n">
        <f aca="false">INT(A272)</f>
        <v>46034</v>
      </c>
      <c r="C272" s="10" t="str">
        <f aca="false">TEXT(B272,"yyyy-mm")</f>
        <v>2026-01</v>
      </c>
      <c r="D272" s="10" t="n">
        <f aca="false">MONTH(B272)</f>
        <v>1</v>
      </c>
      <c r="E272" s="10" t="str">
        <f aca="false">TEXT(B272,"mmmm")</f>
        <v>styczeń</v>
      </c>
      <c r="F272" s="10" t="str">
        <f aca="false">"Q"&amp;ROUNDUP(D272/3,0)</f>
        <v>Q1</v>
      </c>
      <c r="G272" s="10" t="str">
        <f aca="false">IF(OR(D272=12,D272&lt;=2),"Winter",IF(D272&lt;=5,"Spring",IF(D272&lt;=8,"Summer","Autumn")))</f>
        <v>Winter</v>
      </c>
      <c r="H272" s="11" t="n">
        <f aca="false">weather_data!E272-weather_data!D272</f>
        <v>-1.6</v>
      </c>
      <c r="I272" s="10" t="n">
        <f aca="false">IF(OR(weather_data!H272="light rain",weather_data!H272="moderate rain",weather_data!H272="drizzle",weather_data!H272="thunderstorm"),1,0)</f>
        <v>0</v>
      </c>
      <c r="J272" s="10" t="n">
        <f aca="false">IF(weather_data!I272&gt;=25,1,0)</f>
        <v>0</v>
      </c>
    </row>
    <row r="273" customFormat="false" ht="15" hidden="false" customHeight="false" outlineLevel="0" collapsed="false">
      <c r="A273" s="8" t="n">
        <f aca="false">weather_data!B273</f>
        <v>46035.6597222222</v>
      </c>
      <c r="B273" s="9" t="n">
        <f aca="false">INT(A273)</f>
        <v>46035</v>
      </c>
      <c r="C273" s="10" t="str">
        <f aca="false">TEXT(B273,"yyyy-mm")</f>
        <v>2026-01</v>
      </c>
      <c r="D273" s="10" t="n">
        <f aca="false">MONTH(B273)</f>
        <v>1</v>
      </c>
      <c r="E273" s="10" t="str">
        <f aca="false">TEXT(B273,"mmmm")</f>
        <v>styczeń</v>
      </c>
      <c r="F273" s="10" t="str">
        <f aca="false">"Q"&amp;ROUNDUP(D273/3,0)</f>
        <v>Q1</v>
      </c>
      <c r="G273" s="10" t="str">
        <f aca="false">IF(OR(D273=12,D273&lt;=2),"Winter",IF(D273&lt;=5,"Spring",IF(D273&lt;=8,"Summer","Autumn")))</f>
        <v>Winter</v>
      </c>
      <c r="H273" s="11" t="n">
        <f aca="false">weather_data!E273-weather_data!D273</f>
        <v>-1</v>
      </c>
      <c r="I273" s="10" t="n">
        <f aca="false">IF(OR(weather_data!H273="light rain",weather_data!H273="moderate rain",weather_data!H273="drizzle",weather_data!H273="thunderstorm"),1,0)</f>
        <v>0</v>
      </c>
      <c r="J273" s="10" t="n">
        <f aca="false">IF(weather_data!I273&gt;=25,1,0)</f>
        <v>1</v>
      </c>
    </row>
    <row r="274" customFormat="false" ht="15" hidden="false" customHeight="false" outlineLevel="0" collapsed="false">
      <c r="A274" s="8" t="n">
        <f aca="false">weather_data!B274</f>
        <v>46036.7638888889</v>
      </c>
      <c r="B274" s="9" t="n">
        <f aca="false">INT(A274)</f>
        <v>46036</v>
      </c>
      <c r="C274" s="10" t="str">
        <f aca="false">TEXT(B274,"yyyy-mm")</f>
        <v>2026-01</v>
      </c>
      <c r="D274" s="10" t="n">
        <f aca="false">MONTH(B274)</f>
        <v>1</v>
      </c>
      <c r="E274" s="10" t="str">
        <f aca="false">TEXT(B274,"mmmm")</f>
        <v>styczeń</v>
      </c>
      <c r="F274" s="10" t="str">
        <f aca="false">"Q"&amp;ROUNDUP(D274/3,0)</f>
        <v>Q1</v>
      </c>
      <c r="G274" s="10" t="str">
        <f aca="false">IF(OR(D274=12,D274&lt;=2),"Winter",IF(D274&lt;=5,"Spring",IF(D274&lt;=8,"Summer","Autumn")))</f>
        <v>Winter</v>
      </c>
      <c r="H274" s="11" t="n">
        <f aca="false">weather_data!E274-weather_data!D274</f>
        <v>-0.700000000000001</v>
      </c>
      <c r="I274" s="10" t="n">
        <f aca="false">IF(OR(weather_data!H274="light rain",weather_data!H274="moderate rain",weather_data!H274="drizzle",weather_data!H274="thunderstorm"),1,0)</f>
        <v>0</v>
      </c>
      <c r="J274" s="10" t="n">
        <f aca="false">IF(weather_data!I274&gt;=25,1,0)</f>
        <v>0</v>
      </c>
    </row>
    <row r="275" customFormat="false" ht="15" hidden="false" customHeight="false" outlineLevel="0" collapsed="false">
      <c r="A275" s="8" t="n">
        <f aca="false">weather_data!B275</f>
        <v>46037.8958333333</v>
      </c>
      <c r="B275" s="9" t="n">
        <f aca="false">INT(A275)</f>
        <v>46037</v>
      </c>
      <c r="C275" s="10" t="str">
        <f aca="false">TEXT(B275,"yyyy-mm")</f>
        <v>2026-01</v>
      </c>
      <c r="D275" s="10" t="n">
        <f aca="false">MONTH(B275)</f>
        <v>1</v>
      </c>
      <c r="E275" s="10" t="str">
        <f aca="false">TEXT(B275,"mmmm")</f>
        <v>styczeń</v>
      </c>
      <c r="F275" s="10" t="str">
        <f aca="false">"Q"&amp;ROUNDUP(D275/3,0)</f>
        <v>Q1</v>
      </c>
      <c r="G275" s="10" t="str">
        <f aca="false">IF(OR(D275=12,D275&lt;=2),"Winter",IF(D275&lt;=5,"Spring",IF(D275&lt;=8,"Summer","Autumn")))</f>
        <v>Winter</v>
      </c>
      <c r="H275" s="11" t="n">
        <f aca="false">weather_data!E275-weather_data!D275</f>
        <v>0.0999999999999996</v>
      </c>
      <c r="I275" s="10" t="n">
        <f aca="false">IF(OR(weather_data!H275="light rain",weather_data!H275="moderate rain",weather_data!H275="drizzle",weather_data!H275="thunderstorm"),1,0)</f>
        <v>0</v>
      </c>
      <c r="J275" s="10" t="n">
        <f aca="false">IF(weather_data!I275&gt;=25,1,0)</f>
        <v>0</v>
      </c>
    </row>
    <row r="276" customFormat="false" ht="15" hidden="false" customHeight="false" outlineLevel="0" collapsed="false">
      <c r="A276" s="8" t="n">
        <f aca="false">weather_data!B276</f>
        <v>46038.3611111111</v>
      </c>
      <c r="B276" s="9" t="n">
        <f aca="false">INT(A276)</f>
        <v>46038</v>
      </c>
      <c r="C276" s="10" t="str">
        <f aca="false">TEXT(B276,"yyyy-mm")</f>
        <v>2026-01</v>
      </c>
      <c r="D276" s="10" t="n">
        <f aca="false">MONTH(B276)</f>
        <v>1</v>
      </c>
      <c r="E276" s="10" t="str">
        <f aca="false">TEXT(B276,"mmmm")</f>
        <v>styczeń</v>
      </c>
      <c r="F276" s="10" t="str">
        <f aca="false">"Q"&amp;ROUNDUP(D276/3,0)</f>
        <v>Q1</v>
      </c>
      <c r="G276" s="10" t="str">
        <f aca="false">IF(OR(D276=12,D276&lt;=2),"Winter",IF(D276&lt;=5,"Spring",IF(D276&lt;=8,"Summer","Autumn")))</f>
        <v>Winter</v>
      </c>
      <c r="H276" s="11" t="n">
        <f aca="false">weather_data!E276-weather_data!D276</f>
        <v>-2</v>
      </c>
      <c r="I276" s="10" t="n">
        <f aca="false">IF(OR(weather_data!H276="light rain",weather_data!H276="moderate rain",weather_data!H276="drizzle",weather_data!H276="thunderstorm"),1,0)</f>
        <v>1</v>
      </c>
      <c r="J276" s="10" t="n">
        <f aca="false">IF(weather_data!I276&gt;=25,1,0)</f>
        <v>0</v>
      </c>
    </row>
    <row r="277" customFormat="false" ht="15" hidden="false" customHeight="false" outlineLevel="0" collapsed="false">
      <c r="A277" s="8" t="n">
        <f aca="false">weather_data!B277</f>
        <v>46039.3125</v>
      </c>
      <c r="B277" s="9" t="n">
        <f aca="false">INT(A277)</f>
        <v>46039</v>
      </c>
      <c r="C277" s="10" t="str">
        <f aca="false">TEXT(B277,"yyyy-mm")</f>
        <v>2026-01</v>
      </c>
      <c r="D277" s="10" t="n">
        <f aca="false">MONTH(B277)</f>
        <v>1</v>
      </c>
      <c r="E277" s="10" t="str">
        <f aca="false">TEXT(B277,"mmmm")</f>
        <v>styczeń</v>
      </c>
      <c r="F277" s="10" t="str">
        <f aca="false">"Q"&amp;ROUNDUP(D277/3,0)</f>
        <v>Q1</v>
      </c>
      <c r="G277" s="10" t="str">
        <f aca="false">IF(OR(D277=12,D277&lt;=2),"Winter",IF(D277&lt;=5,"Spring",IF(D277&lt;=8,"Summer","Autumn")))</f>
        <v>Winter</v>
      </c>
      <c r="H277" s="11" t="n">
        <f aca="false">weather_data!E277-weather_data!D277</f>
        <v>-1.3</v>
      </c>
      <c r="I277" s="10" t="n">
        <f aca="false">IF(OR(weather_data!H277="light rain",weather_data!H277="moderate rain",weather_data!H277="drizzle",weather_data!H277="thunderstorm"),1,0)</f>
        <v>1</v>
      </c>
      <c r="J277" s="10" t="n">
        <f aca="false">IF(weather_data!I277&gt;=25,1,0)</f>
        <v>0</v>
      </c>
    </row>
    <row r="278" customFormat="false" ht="15" hidden="false" customHeight="false" outlineLevel="0" collapsed="false">
      <c r="A278" s="8" t="n">
        <f aca="false">weather_data!B278</f>
        <v>46040.6944444445</v>
      </c>
      <c r="B278" s="9" t="n">
        <f aca="false">INT(A278)</f>
        <v>46040</v>
      </c>
      <c r="C278" s="10" t="str">
        <f aca="false">TEXT(B278,"yyyy-mm")</f>
        <v>2026-01</v>
      </c>
      <c r="D278" s="10" t="n">
        <f aca="false">MONTH(B278)</f>
        <v>1</v>
      </c>
      <c r="E278" s="10" t="str">
        <f aca="false">TEXT(B278,"mmmm")</f>
        <v>styczeń</v>
      </c>
      <c r="F278" s="10" t="str">
        <f aca="false">"Q"&amp;ROUNDUP(D278/3,0)</f>
        <v>Q1</v>
      </c>
      <c r="G278" s="10" t="str">
        <f aca="false">IF(OR(D278=12,D278&lt;=2),"Winter",IF(D278&lt;=5,"Spring",IF(D278&lt;=8,"Summer","Autumn")))</f>
        <v>Winter</v>
      </c>
      <c r="H278" s="11" t="n">
        <f aca="false">weather_data!E278-weather_data!D278</f>
        <v>-0.199999999999999</v>
      </c>
      <c r="I278" s="10" t="n">
        <f aca="false">IF(OR(weather_data!H278="light rain",weather_data!H278="moderate rain",weather_data!H278="drizzle",weather_data!H278="thunderstorm"),1,0)</f>
        <v>0</v>
      </c>
      <c r="J278" s="10" t="n">
        <f aca="false">IF(weather_data!I278&gt;=25,1,0)</f>
        <v>0</v>
      </c>
    </row>
    <row r="279" customFormat="false" ht="15" hidden="false" customHeight="false" outlineLevel="0" collapsed="false">
      <c r="A279" s="8" t="n">
        <f aca="false">weather_data!B279</f>
        <v>46041.5833333333</v>
      </c>
      <c r="B279" s="9" t="n">
        <f aca="false">INT(A279)</f>
        <v>46041</v>
      </c>
      <c r="C279" s="10" t="str">
        <f aca="false">TEXT(B279,"yyyy-mm")</f>
        <v>2026-01</v>
      </c>
      <c r="D279" s="10" t="n">
        <f aca="false">MONTH(B279)</f>
        <v>1</v>
      </c>
      <c r="E279" s="10" t="str">
        <f aca="false">TEXT(B279,"mmmm")</f>
        <v>styczeń</v>
      </c>
      <c r="F279" s="10" t="str">
        <f aca="false">"Q"&amp;ROUNDUP(D279/3,0)</f>
        <v>Q1</v>
      </c>
      <c r="G279" s="10" t="str">
        <f aca="false">IF(OR(D279=12,D279&lt;=2),"Winter",IF(D279&lt;=5,"Spring",IF(D279&lt;=8,"Summer","Autumn")))</f>
        <v>Winter</v>
      </c>
      <c r="H279" s="11" t="n">
        <f aca="false">weather_data!E279-weather_data!D279</f>
        <v>-0.800000000000001</v>
      </c>
      <c r="I279" s="10" t="n">
        <f aca="false">IF(OR(weather_data!H279="light rain",weather_data!H279="moderate rain",weather_data!H279="drizzle",weather_data!H279="thunderstorm"),1,0)</f>
        <v>1</v>
      </c>
      <c r="J279" s="10" t="n">
        <f aca="false">IF(weather_data!I279&gt;=25,1,0)</f>
        <v>1</v>
      </c>
    </row>
    <row r="280" customFormat="false" ht="15" hidden="false" customHeight="false" outlineLevel="0" collapsed="false">
      <c r="A280" s="8" t="n">
        <f aca="false">weather_data!B280</f>
        <v>46042.3402777778</v>
      </c>
      <c r="B280" s="9" t="n">
        <f aca="false">INT(A280)</f>
        <v>46042</v>
      </c>
      <c r="C280" s="10" t="str">
        <f aca="false">TEXT(B280,"yyyy-mm")</f>
        <v>2026-01</v>
      </c>
      <c r="D280" s="10" t="n">
        <f aca="false">MONTH(B280)</f>
        <v>1</v>
      </c>
      <c r="E280" s="10" t="str">
        <f aca="false">TEXT(B280,"mmmm")</f>
        <v>styczeń</v>
      </c>
      <c r="F280" s="10" t="str">
        <f aca="false">"Q"&amp;ROUNDUP(D280/3,0)</f>
        <v>Q1</v>
      </c>
      <c r="G280" s="10" t="str">
        <f aca="false">IF(OR(D280=12,D280&lt;=2),"Winter",IF(D280&lt;=5,"Spring",IF(D280&lt;=8,"Summer","Autumn")))</f>
        <v>Winter</v>
      </c>
      <c r="H280" s="11" t="n">
        <f aca="false">weather_data!E280-weather_data!D280</f>
        <v>1</v>
      </c>
      <c r="I280" s="10" t="n">
        <f aca="false">IF(OR(weather_data!H280="light rain",weather_data!H280="moderate rain",weather_data!H280="drizzle",weather_data!H280="thunderstorm"),1,0)</f>
        <v>0</v>
      </c>
      <c r="J280" s="10" t="n">
        <f aca="false">IF(weather_data!I280&gt;=25,1,0)</f>
        <v>1</v>
      </c>
    </row>
    <row r="281" customFormat="false" ht="15" hidden="false" customHeight="false" outlineLevel="0" collapsed="false">
      <c r="A281" s="8" t="n">
        <f aca="false">weather_data!B281</f>
        <v>46043.2847222222</v>
      </c>
      <c r="B281" s="9" t="n">
        <f aca="false">INT(A281)</f>
        <v>46043</v>
      </c>
      <c r="C281" s="10" t="str">
        <f aca="false">TEXT(B281,"yyyy-mm")</f>
        <v>2026-01</v>
      </c>
      <c r="D281" s="10" t="n">
        <f aca="false">MONTH(B281)</f>
        <v>1</v>
      </c>
      <c r="E281" s="10" t="str">
        <f aca="false">TEXT(B281,"mmmm")</f>
        <v>styczeń</v>
      </c>
      <c r="F281" s="10" t="str">
        <f aca="false">"Q"&amp;ROUNDUP(D281/3,0)</f>
        <v>Q1</v>
      </c>
      <c r="G281" s="10" t="str">
        <f aca="false">IF(OR(D281=12,D281&lt;=2),"Winter",IF(D281&lt;=5,"Spring",IF(D281&lt;=8,"Summer","Autumn")))</f>
        <v>Winter</v>
      </c>
      <c r="H281" s="11" t="n">
        <f aca="false">weather_data!E281-weather_data!D281</f>
        <v>-0.4</v>
      </c>
      <c r="I281" s="10" t="n">
        <f aca="false">IF(OR(weather_data!H281="light rain",weather_data!H281="moderate rain",weather_data!H281="drizzle",weather_data!H281="thunderstorm"),1,0)</f>
        <v>1</v>
      </c>
      <c r="J281" s="10" t="n">
        <f aca="false">IF(weather_data!I281&gt;=25,1,0)</f>
        <v>0</v>
      </c>
    </row>
    <row r="282" customFormat="false" ht="15" hidden="false" customHeight="false" outlineLevel="0" collapsed="false">
      <c r="A282" s="8" t="n">
        <f aca="false">weather_data!B282</f>
        <v>46044.6111111111</v>
      </c>
      <c r="B282" s="9" t="n">
        <f aca="false">INT(A282)</f>
        <v>46044</v>
      </c>
      <c r="C282" s="10" t="str">
        <f aca="false">TEXT(B282,"yyyy-mm")</f>
        <v>2026-01</v>
      </c>
      <c r="D282" s="10" t="n">
        <f aca="false">MONTH(B282)</f>
        <v>1</v>
      </c>
      <c r="E282" s="10" t="str">
        <f aca="false">TEXT(B282,"mmmm")</f>
        <v>styczeń</v>
      </c>
      <c r="F282" s="10" t="str">
        <f aca="false">"Q"&amp;ROUNDUP(D282/3,0)</f>
        <v>Q1</v>
      </c>
      <c r="G282" s="10" t="str">
        <f aca="false">IF(OR(D282=12,D282&lt;=2),"Winter",IF(D282&lt;=5,"Spring",IF(D282&lt;=8,"Summer","Autumn")))</f>
        <v>Winter</v>
      </c>
      <c r="H282" s="11" t="n">
        <f aca="false">weather_data!E282-weather_data!D282</f>
        <v>0.0999999999999996</v>
      </c>
      <c r="I282" s="10" t="n">
        <f aca="false">IF(OR(weather_data!H282="light rain",weather_data!H282="moderate rain",weather_data!H282="drizzle",weather_data!H282="thunderstorm"),1,0)</f>
        <v>0</v>
      </c>
      <c r="J282" s="10" t="n">
        <f aca="false">IF(weather_data!I282&gt;=25,1,0)</f>
        <v>0</v>
      </c>
    </row>
    <row r="283" customFormat="false" ht="15" hidden="false" customHeight="false" outlineLevel="0" collapsed="false">
      <c r="A283" s="8" t="n">
        <f aca="false">weather_data!B283</f>
        <v>46045.2986111111</v>
      </c>
      <c r="B283" s="9" t="n">
        <f aca="false">INT(A283)</f>
        <v>46045</v>
      </c>
      <c r="C283" s="10" t="str">
        <f aca="false">TEXT(B283,"yyyy-mm")</f>
        <v>2026-01</v>
      </c>
      <c r="D283" s="10" t="n">
        <f aca="false">MONTH(B283)</f>
        <v>1</v>
      </c>
      <c r="E283" s="10" t="str">
        <f aca="false">TEXT(B283,"mmmm")</f>
        <v>styczeń</v>
      </c>
      <c r="F283" s="10" t="str">
        <f aca="false">"Q"&amp;ROUNDUP(D283/3,0)</f>
        <v>Q1</v>
      </c>
      <c r="G283" s="10" t="str">
        <f aca="false">IF(OR(D283=12,D283&lt;=2),"Winter",IF(D283&lt;=5,"Spring",IF(D283&lt;=8,"Summer","Autumn")))</f>
        <v>Winter</v>
      </c>
      <c r="H283" s="11" t="n">
        <f aca="false">weather_data!E283-weather_data!D283</f>
        <v>-2.4</v>
      </c>
      <c r="I283" s="10" t="n">
        <f aca="false">IF(OR(weather_data!H283="light rain",weather_data!H283="moderate rain",weather_data!H283="drizzle",weather_data!H283="thunderstorm"),1,0)</f>
        <v>1</v>
      </c>
      <c r="J283" s="10" t="n">
        <f aca="false">IF(weather_data!I283&gt;=25,1,0)</f>
        <v>1</v>
      </c>
    </row>
    <row r="284" customFormat="false" ht="15" hidden="false" customHeight="false" outlineLevel="0" collapsed="false">
      <c r="A284" s="8" t="n">
        <f aca="false">weather_data!B284</f>
        <v>46046.9027777778</v>
      </c>
      <c r="B284" s="9" t="n">
        <f aca="false">INT(A284)</f>
        <v>46046</v>
      </c>
      <c r="C284" s="10" t="str">
        <f aca="false">TEXT(B284,"yyyy-mm")</f>
        <v>2026-01</v>
      </c>
      <c r="D284" s="10" t="n">
        <f aca="false">MONTH(B284)</f>
        <v>1</v>
      </c>
      <c r="E284" s="10" t="str">
        <f aca="false">TEXT(B284,"mmmm")</f>
        <v>styczeń</v>
      </c>
      <c r="F284" s="10" t="str">
        <f aca="false">"Q"&amp;ROUNDUP(D284/3,0)</f>
        <v>Q1</v>
      </c>
      <c r="G284" s="10" t="str">
        <f aca="false">IF(OR(D284=12,D284&lt;=2),"Winter",IF(D284&lt;=5,"Spring",IF(D284&lt;=8,"Summer","Autumn")))</f>
        <v>Winter</v>
      </c>
      <c r="H284" s="11" t="n">
        <f aca="false">weather_data!E284-weather_data!D284</f>
        <v>0.299999999999999</v>
      </c>
      <c r="I284" s="10" t="n">
        <f aca="false">IF(OR(weather_data!H284="light rain",weather_data!H284="moderate rain",weather_data!H284="drizzle",weather_data!H284="thunderstorm"),1,0)</f>
        <v>0</v>
      </c>
      <c r="J284" s="10" t="n">
        <f aca="false">IF(weather_data!I284&gt;=25,1,0)</f>
        <v>0</v>
      </c>
    </row>
    <row r="285" customFormat="false" ht="15" hidden="false" customHeight="false" outlineLevel="0" collapsed="false">
      <c r="A285" s="8" t="n">
        <f aca="false">weather_data!B285</f>
        <v>46047.8472222222</v>
      </c>
      <c r="B285" s="9" t="n">
        <f aca="false">INT(A285)</f>
        <v>46047</v>
      </c>
      <c r="C285" s="10" t="str">
        <f aca="false">TEXT(B285,"yyyy-mm")</f>
        <v>2026-01</v>
      </c>
      <c r="D285" s="10" t="n">
        <f aca="false">MONTH(B285)</f>
        <v>1</v>
      </c>
      <c r="E285" s="10" t="str">
        <f aca="false">TEXT(B285,"mmmm")</f>
        <v>styczeń</v>
      </c>
      <c r="F285" s="10" t="str">
        <f aca="false">"Q"&amp;ROUNDUP(D285/3,0)</f>
        <v>Q1</v>
      </c>
      <c r="G285" s="10" t="str">
        <f aca="false">IF(OR(D285=12,D285&lt;=2),"Winter",IF(D285&lt;=5,"Spring",IF(D285&lt;=8,"Summer","Autumn")))</f>
        <v>Winter</v>
      </c>
      <c r="H285" s="11" t="n">
        <f aca="false">weather_data!E285-weather_data!D285</f>
        <v>-0.699999999999999</v>
      </c>
      <c r="I285" s="10" t="n">
        <f aca="false">IF(OR(weather_data!H285="light rain",weather_data!H285="moderate rain",weather_data!H285="drizzle",weather_data!H285="thunderstorm"),1,0)</f>
        <v>0</v>
      </c>
      <c r="J285" s="10" t="n">
        <f aca="false">IF(weather_data!I285&gt;=25,1,0)</f>
        <v>0</v>
      </c>
    </row>
    <row r="286" customFormat="false" ht="15" hidden="false" customHeight="false" outlineLevel="0" collapsed="false">
      <c r="A286" s="8" t="n">
        <f aca="false">weather_data!B286</f>
        <v>46048.4861111111</v>
      </c>
      <c r="B286" s="9" t="n">
        <f aca="false">INT(A286)</f>
        <v>46048</v>
      </c>
      <c r="C286" s="10" t="str">
        <f aca="false">TEXT(B286,"yyyy-mm")</f>
        <v>2026-01</v>
      </c>
      <c r="D286" s="10" t="n">
        <f aca="false">MONTH(B286)</f>
        <v>1</v>
      </c>
      <c r="E286" s="10" t="str">
        <f aca="false">TEXT(B286,"mmmm")</f>
        <v>styczeń</v>
      </c>
      <c r="F286" s="10" t="str">
        <f aca="false">"Q"&amp;ROUNDUP(D286/3,0)</f>
        <v>Q1</v>
      </c>
      <c r="G286" s="10" t="str">
        <f aca="false">IF(OR(D286=12,D286&lt;=2),"Winter",IF(D286&lt;=5,"Spring",IF(D286&lt;=8,"Summer","Autumn")))</f>
        <v>Winter</v>
      </c>
      <c r="H286" s="11" t="n">
        <f aca="false">weather_data!E286-weather_data!D286</f>
        <v>-1.9</v>
      </c>
      <c r="I286" s="10" t="n">
        <f aca="false">IF(OR(weather_data!H286="light rain",weather_data!H286="moderate rain",weather_data!H286="drizzle",weather_data!H286="thunderstorm"),1,0)</f>
        <v>0</v>
      </c>
      <c r="J286" s="10" t="n">
        <f aca="false">IF(weather_data!I286&gt;=25,1,0)</f>
        <v>0</v>
      </c>
    </row>
    <row r="287" customFormat="false" ht="15" hidden="false" customHeight="false" outlineLevel="0" collapsed="false">
      <c r="A287" s="8" t="n">
        <f aca="false">weather_data!B287</f>
        <v>46049.8263888889</v>
      </c>
      <c r="B287" s="9" t="n">
        <f aca="false">INT(A287)</f>
        <v>46049</v>
      </c>
      <c r="C287" s="10" t="str">
        <f aca="false">TEXT(B287,"yyyy-mm")</f>
        <v>2026-01</v>
      </c>
      <c r="D287" s="10" t="n">
        <f aca="false">MONTH(B287)</f>
        <v>1</v>
      </c>
      <c r="E287" s="10" t="str">
        <f aca="false">TEXT(B287,"mmmm")</f>
        <v>styczeń</v>
      </c>
      <c r="F287" s="10" t="str">
        <f aca="false">"Q"&amp;ROUNDUP(D287/3,0)</f>
        <v>Q1</v>
      </c>
      <c r="G287" s="10" t="str">
        <f aca="false">IF(OR(D287=12,D287&lt;=2),"Winter",IF(D287&lt;=5,"Spring",IF(D287&lt;=8,"Summer","Autumn")))</f>
        <v>Winter</v>
      </c>
      <c r="H287" s="11" t="n">
        <f aca="false">weather_data!E287-weather_data!D287</f>
        <v>1.1</v>
      </c>
      <c r="I287" s="10" t="n">
        <f aca="false">IF(OR(weather_data!H287="light rain",weather_data!H287="moderate rain",weather_data!H287="drizzle",weather_data!H287="thunderstorm"),1,0)</f>
        <v>0</v>
      </c>
      <c r="J287" s="10" t="n">
        <f aca="false">IF(weather_data!I287&gt;=25,1,0)</f>
        <v>0</v>
      </c>
    </row>
    <row r="288" customFormat="false" ht="15" hidden="false" customHeight="false" outlineLevel="0" collapsed="false">
      <c r="A288" s="8" t="n">
        <f aca="false">weather_data!B288</f>
        <v>46050.875</v>
      </c>
      <c r="B288" s="9" t="n">
        <f aca="false">INT(A288)</f>
        <v>46050</v>
      </c>
      <c r="C288" s="10" t="str">
        <f aca="false">TEXT(B288,"yyyy-mm")</f>
        <v>2026-01</v>
      </c>
      <c r="D288" s="10" t="n">
        <f aca="false">MONTH(B288)</f>
        <v>1</v>
      </c>
      <c r="E288" s="10" t="str">
        <f aca="false">TEXT(B288,"mmmm")</f>
        <v>styczeń</v>
      </c>
      <c r="F288" s="10" t="str">
        <f aca="false">"Q"&amp;ROUNDUP(D288/3,0)</f>
        <v>Q1</v>
      </c>
      <c r="G288" s="10" t="str">
        <f aca="false">IF(OR(D288=12,D288&lt;=2),"Winter",IF(D288&lt;=5,"Spring",IF(D288&lt;=8,"Summer","Autumn")))</f>
        <v>Winter</v>
      </c>
      <c r="H288" s="11" t="n">
        <f aca="false">weather_data!E288-weather_data!D288</f>
        <v>0.199999999999999</v>
      </c>
      <c r="I288" s="10" t="n">
        <f aca="false">IF(OR(weather_data!H288="light rain",weather_data!H288="moderate rain",weather_data!H288="drizzle",weather_data!H288="thunderstorm"),1,0)</f>
        <v>0</v>
      </c>
      <c r="J288" s="10" t="n">
        <f aca="false">IF(weather_data!I288&gt;=25,1,0)</f>
        <v>0</v>
      </c>
    </row>
    <row r="289" customFormat="false" ht="15" hidden="false" customHeight="false" outlineLevel="0" collapsed="false">
      <c r="A289" s="8" t="n">
        <f aca="false">weather_data!B289</f>
        <v>46051.8888888889</v>
      </c>
      <c r="B289" s="9" t="n">
        <f aca="false">INT(A289)</f>
        <v>46051</v>
      </c>
      <c r="C289" s="10" t="str">
        <f aca="false">TEXT(B289,"yyyy-mm")</f>
        <v>2026-01</v>
      </c>
      <c r="D289" s="10" t="n">
        <f aca="false">MONTH(B289)</f>
        <v>1</v>
      </c>
      <c r="E289" s="10" t="str">
        <f aca="false">TEXT(B289,"mmmm")</f>
        <v>styczeń</v>
      </c>
      <c r="F289" s="10" t="str">
        <f aca="false">"Q"&amp;ROUNDUP(D289/3,0)</f>
        <v>Q1</v>
      </c>
      <c r="G289" s="10" t="str">
        <f aca="false">IF(OR(D289=12,D289&lt;=2),"Winter",IF(D289&lt;=5,"Spring",IF(D289&lt;=8,"Summer","Autumn")))</f>
        <v>Winter</v>
      </c>
      <c r="H289" s="11" t="n">
        <f aca="false">weather_data!E289-weather_data!D289</f>
        <v>0.6</v>
      </c>
      <c r="I289" s="10" t="n">
        <f aca="false">IF(OR(weather_data!H289="light rain",weather_data!H289="moderate rain",weather_data!H289="drizzle",weather_data!H289="thunderstorm"),1,0)</f>
        <v>0</v>
      </c>
      <c r="J289" s="10" t="n">
        <f aca="false">IF(weather_data!I289&gt;=25,1,0)</f>
        <v>0</v>
      </c>
    </row>
    <row r="290" customFormat="false" ht="15" hidden="false" customHeight="false" outlineLevel="0" collapsed="false">
      <c r="A290" s="8" t="n">
        <f aca="false">weather_data!B290</f>
        <v>46052.8055555556</v>
      </c>
      <c r="B290" s="9" t="n">
        <f aca="false">INT(A290)</f>
        <v>46052</v>
      </c>
      <c r="C290" s="10" t="str">
        <f aca="false">TEXT(B290,"yyyy-mm")</f>
        <v>2026-01</v>
      </c>
      <c r="D290" s="10" t="n">
        <f aca="false">MONTH(B290)</f>
        <v>1</v>
      </c>
      <c r="E290" s="10" t="str">
        <f aca="false">TEXT(B290,"mmmm")</f>
        <v>styczeń</v>
      </c>
      <c r="F290" s="10" t="str">
        <f aca="false">"Q"&amp;ROUNDUP(D290/3,0)</f>
        <v>Q1</v>
      </c>
      <c r="G290" s="10" t="str">
        <f aca="false">IF(OR(D290=12,D290&lt;=2),"Winter",IF(D290&lt;=5,"Spring",IF(D290&lt;=8,"Summer","Autumn")))</f>
        <v>Winter</v>
      </c>
      <c r="H290" s="11" t="n">
        <f aca="false">weather_data!E290-weather_data!D290</f>
        <v>-0.6</v>
      </c>
      <c r="I290" s="10" t="n">
        <f aca="false">IF(OR(weather_data!H290="light rain",weather_data!H290="moderate rain",weather_data!H290="drizzle",weather_data!H290="thunderstorm"),1,0)</f>
        <v>0</v>
      </c>
      <c r="J290" s="10" t="n">
        <f aca="false">IF(weather_data!I290&gt;=25,1,0)</f>
        <v>0</v>
      </c>
    </row>
    <row r="291" customFormat="false" ht="15" hidden="false" customHeight="false" outlineLevel="0" collapsed="false">
      <c r="A291" s="8" t="n">
        <f aca="false">weather_data!B291</f>
        <v>46053.7013888889</v>
      </c>
      <c r="B291" s="9" t="n">
        <f aca="false">INT(A291)</f>
        <v>46053</v>
      </c>
      <c r="C291" s="10" t="str">
        <f aca="false">TEXT(B291,"yyyy-mm")</f>
        <v>2026-01</v>
      </c>
      <c r="D291" s="10" t="n">
        <f aca="false">MONTH(B291)</f>
        <v>1</v>
      </c>
      <c r="E291" s="10" t="str">
        <f aca="false">TEXT(B291,"mmmm")</f>
        <v>styczeń</v>
      </c>
      <c r="F291" s="10" t="str">
        <f aca="false">"Q"&amp;ROUNDUP(D291/3,0)</f>
        <v>Q1</v>
      </c>
      <c r="G291" s="10" t="str">
        <f aca="false">IF(OR(D291=12,D291&lt;=2),"Winter",IF(D291&lt;=5,"Spring",IF(D291&lt;=8,"Summer","Autumn")))</f>
        <v>Winter</v>
      </c>
      <c r="H291" s="11" t="n">
        <f aca="false">weather_data!E291-weather_data!D291</f>
        <v>-1.8</v>
      </c>
      <c r="I291" s="10" t="n">
        <f aca="false">IF(OR(weather_data!H291="light rain",weather_data!H291="moderate rain",weather_data!H291="drizzle",weather_data!H291="thunderstorm"),1,0)</f>
        <v>0</v>
      </c>
      <c r="J291" s="10" t="n">
        <f aca="false">IF(weather_data!I291&gt;=25,1,0)</f>
        <v>0</v>
      </c>
    </row>
    <row r="292" customFormat="false" ht="15" hidden="false" customHeight="false" outlineLevel="0" collapsed="false">
      <c r="A292" s="8" t="n">
        <f aca="false">weather_data!B292</f>
        <v>46054.3819444445</v>
      </c>
      <c r="B292" s="9" t="n">
        <f aca="false">INT(A292)</f>
        <v>46054</v>
      </c>
      <c r="C292" s="10" t="str">
        <f aca="false">TEXT(B292,"yyyy-mm")</f>
        <v>2026-02</v>
      </c>
      <c r="D292" s="10" t="n">
        <f aca="false">MONTH(B292)</f>
        <v>2</v>
      </c>
      <c r="E292" s="10" t="str">
        <f aca="false">TEXT(B292,"mmmm")</f>
        <v>luty</v>
      </c>
      <c r="F292" s="10" t="str">
        <f aca="false">"Q"&amp;ROUNDUP(D292/3,0)</f>
        <v>Q1</v>
      </c>
      <c r="G292" s="10" t="str">
        <f aca="false">IF(OR(D292=12,D292&lt;=2),"Winter",IF(D292&lt;=5,"Spring",IF(D292&lt;=8,"Summer","Autumn")))</f>
        <v>Winter</v>
      </c>
      <c r="H292" s="11" t="n">
        <f aca="false">weather_data!E292-weather_data!D292</f>
        <v>-1</v>
      </c>
      <c r="I292" s="10" t="n">
        <f aca="false">IF(OR(weather_data!H292="light rain",weather_data!H292="moderate rain",weather_data!H292="drizzle",weather_data!H292="thunderstorm"),1,0)</f>
        <v>0</v>
      </c>
      <c r="J292" s="10" t="n">
        <f aca="false">IF(weather_data!I292&gt;=25,1,0)</f>
        <v>0</v>
      </c>
    </row>
    <row r="293" customFormat="false" ht="15" hidden="false" customHeight="false" outlineLevel="0" collapsed="false">
      <c r="A293" s="8" t="n">
        <f aca="false">weather_data!B293</f>
        <v>46055.6875</v>
      </c>
      <c r="B293" s="9" t="n">
        <f aca="false">INT(A293)</f>
        <v>46055</v>
      </c>
      <c r="C293" s="10" t="str">
        <f aca="false">TEXT(B293,"yyyy-mm")</f>
        <v>2026-02</v>
      </c>
      <c r="D293" s="10" t="n">
        <f aca="false">MONTH(B293)</f>
        <v>2</v>
      </c>
      <c r="E293" s="10" t="str">
        <f aca="false">TEXT(B293,"mmmm")</f>
        <v>luty</v>
      </c>
      <c r="F293" s="10" t="str">
        <f aca="false">"Q"&amp;ROUNDUP(D293/3,0)</f>
        <v>Q1</v>
      </c>
      <c r="G293" s="10" t="str">
        <f aca="false">IF(OR(D293=12,D293&lt;=2),"Winter",IF(D293&lt;=5,"Spring",IF(D293&lt;=8,"Summer","Autumn")))</f>
        <v>Winter</v>
      </c>
      <c r="H293" s="11" t="n">
        <f aca="false">weather_data!E293-weather_data!D293</f>
        <v>0.800000000000001</v>
      </c>
      <c r="I293" s="10" t="n">
        <f aca="false">IF(OR(weather_data!H293="light rain",weather_data!H293="moderate rain",weather_data!H293="drizzle",weather_data!H293="thunderstorm"),1,0)</f>
        <v>0</v>
      </c>
      <c r="J293" s="10" t="n">
        <f aca="false">IF(weather_data!I293&gt;=25,1,0)</f>
        <v>0</v>
      </c>
    </row>
    <row r="294" customFormat="false" ht="15" hidden="false" customHeight="false" outlineLevel="0" collapsed="false">
      <c r="A294" s="8" t="n">
        <f aca="false">weather_data!B294</f>
        <v>46056.8888888889</v>
      </c>
      <c r="B294" s="9" t="n">
        <f aca="false">INT(A294)</f>
        <v>46056</v>
      </c>
      <c r="C294" s="10" t="str">
        <f aca="false">TEXT(B294,"yyyy-mm")</f>
        <v>2026-02</v>
      </c>
      <c r="D294" s="10" t="n">
        <f aca="false">MONTH(B294)</f>
        <v>2</v>
      </c>
      <c r="E294" s="10" t="str">
        <f aca="false">TEXT(B294,"mmmm")</f>
        <v>luty</v>
      </c>
      <c r="F294" s="10" t="str">
        <f aca="false">"Q"&amp;ROUNDUP(D294/3,0)</f>
        <v>Q1</v>
      </c>
      <c r="G294" s="10" t="str">
        <f aca="false">IF(OR(D294=12,D294&lt;=2),"Winter",IF(D294&lt;=5,"Spring",IF(D294&lt;=8,"Summer","Autumn")))</f>
        <v>Winter</v>
      </c>
      <c r="H294" s="11" t="n">
        <f aca="false">weather_data!E294-weather_data!D294</f>
        <v>-0.4</v>
      </c>
      <c r="I294" s="10" t="n">
        <f aca="false">IF(OR(weather_data!H294="light rain",weather_data!H294="moderate rain",weather_data!H294="drizzle",weather_data!H294="thunderstorm"),1,0)</f>
        <v>0</v>
      </c>
      <c r="J294" s="10" t="n">
        <f aca="false">IF(weather_data!I294&gt;=25,1,0)</f>
        <v>0</v>
      </c>
    </row>
    <row r="295" customFormat="false" ht="15" hidden="false" customHeight="false" outlineLevel="0" collapsed="false">
      <c r="A295" s="8" t="n">
        <f aca="false">weather_data!B295</f>
        <v>46057.7777777778</v>
      </c>
      <c r="B295" s="9" t="n">
        <f aca="false">INT(A295)</f>
        <v>46057</v>
      </c>
      <c r="C295" s="10" t="str">
        <f aca="false">TEXT(B295,"yyyy-mm")</f>
        <v>2026-02</v>
      </c>
      <c r="D295" s="10" t="n">
        <f aca="false">MONTH(B295)</f>
        <v>2</v>
      </c>
      <c r="E295" s="10" t="str">
        <f aca="false">TEXT(B295,"mmmm")</f>
        <v>luty</v>
      </c>
      <c r="F295" s="10" t="str">
        <f aca="false">"Q"&amp;ROUNDUP(D295/3,0)</f>
        <v>Q1</v>
      </c>
      <c r="G295" s="10" t="str">
        <f aca="false">IF(OR(D295=12,D295&lt;=2),"Winter",IF(D295&lt;=5,"Spring",IF(D295&lt;=8,"Summer","Autumn")))</f>
        <v>Winter</v>
      </c>
      <c r="H295" s="11" t="n">
        <f aca="false">weather_data!E295-weather_data!D295</f>
        <v>-0.5</v>
      </c>
      <c r="I295" s="10" t="n">
        <f aca="false">IF(OR(weather_data!H295="light rain",weather_data!H295="moderate rain",weather_data!H295="drizzle",weather_data!H295="thunderstorm"),1,0)</f>
        <v>0</v>
      </c>
      <c r="J295" s="10" t="n">
        <f aca="false">IF(weather_data!I295&gt;=25,1,0)</f>
        <v>0</v>
      </c>
    </row>
    <row r="296" customFormat="false" ht="15" hidden="false" customHeight="false" outlineLevel="0" collapsed="false">
      <c r="A296" s="8" t="n">
        <f aca="false">weather_data!B296</f>
        <v>46058.3125</v>
      </c>
      <c r="B296" s="9" t="n">
        <f aca="false">INT(A296)</f>
        <v>46058</v>
      </c>
      <c r="C296" s="10" t="str">
        <f aca="false">TEXT(B296,"yyyy-mm")</f>
        <v>2026-02</v>
      </c>
      <c r="D296" s="10" t="n">
        <f aca="false">MONTH(B296)</f>
        <v>2</v>
      </c>
      <c r="E296" s="10" t="str">
        <f aca="false">TEXT(B296,"mmmm")</f>
        <v>luty</v>
      </c>
      <c r="F296" s="10" t="str">
        <f aca="false">"Q"&amp;ROUNDUP(D296/3,0)</f>
        <v>Q1</v>
      </c>
      <c r="G296" s="10" t="str">
        <f aca="false">IF(OR(D296=12,D296&lt;=2),"Winter",IF(D296&lt;=5,"Spring",IF(D296&lt;=8,"Summer","Autumn")))</f>
        <v>Winter</v>
      </c>
      <c r="H296" s="11" t="n">
        <f aca="false">weather_data!E296-weather_data!D296</f>
        <v>-1.9</v>
      </c>
      <c r="I296" s="10" t="n">
        <f aca="false">IF(OR(weather_data!H296="light rain",weather_data!H296="moderate rain",weather_data!H296="drizzle",weather_data!H296="thunderstorm"),1,0)</f>
        <v>0</v>
      </c>
      <c r="J296" s="10" t="n">
        <f aca="false">IF(weather_data!I296&gt;=25,1,0)</f>
        <v>0</v>
      </c>
    </row>
    <row r="297" customFormat="false" ht="15" hidden="false" customHeight="false" outlineLevel="0" collapsed="false">
      <c r="A297" s="8" t="n">
        <f aca="false">weather_data!B297</f>
        <v>46059.3472222222</v>
      </c>
      <c r="B297" s="9" t="n">
        <f aca="false">INT(A297)</f>
        <v>46059</v>
      </c>
      <c r="C297" s="10" t="str">
        <f aca="false">TEXT(B297,"yyyy-mm")</f>
        <v>2026-02</v>
      </c>
      <c r="D297" s="10" t="n">
        <f aca="false">MONTH(B297)</f>
        <v>2</v>
      </c>
      <c r="E297" s="10" t="str">
        <f aca="false">TEXT(B297,"mmmm")</f>
        <v>luty</v>
      </c>
      <c r="F297" s="10" t="str">
        <f aca="false">"Q"&amp;ROUNDUP(D297/3,0)</f>
        <v>Q1</v>
      </c>
      <c r="G297" s="10" t="str">
        <f aca="false">IF(OR(D297=12,D297&lt;=2),"Winter",IF(D297&lt;=5,"Spring",IF(D297&lt;=8,"Summer","Autumn")))</f>
        <v>Winter</v>
      </c>
      <c r="H297" s="11" t="n">
        <f aca="false">weather_data!E297-weather_data!D297</f>
        <v>-1.9</v>
      </c>
      <c r="I297" s="10" t="n">
        <f aca="false">IF(OR(weather_data!H297="light rain",weather_data!H297="moderate rain",weather_data!H297="drizzle",weather_data!H297="thunderstorm"),1,0)</f>
        <v>0</v>
      </c>
      <c r="J297" s="10" t="n">
        <f aca="false">IF(weather_data!I297&gt;=25,1,0)</f>
        <v>0</v>
      </c>
    </row>
    <row r="298" customFormat="false" ht="15" hidden="false" customHeight="false" outlineLevel="0" collapsed="false">
      <c r="A298" s="8" t="n">
        <f aca="false">weather_data!B298</f>
        <v>46060.5972222222</v>
      </c>
      <c r="B298" s="9" t="n">
        <f aca="false">INT(A298)</f>
        <v>46060</v>
      </c>
      <c r="C298" s="10" t="str">
        <f aca="false">TEXT(B298,"yyyy-mm")</f>
        <v>2026-02</v>
      </c>
      <c r="D298" s="10" t="n">
        <f aca="false">MONTH(B298)</f>
        <v>2</v>
      </c>
      <c r="E298" s="10" t="str">
        <f aca="false">TEXT(B298,"mmmm")</f>
        <v>luty</v>
      </c>
      <c r="F298" s="10" t="str">
        <f aca="false">"Q"&amp;ROUNDUP(D298/3,0)</f>
        <v>Q1</v>
      </c>
      <c r="G298" s="10" t="str">
        <f aca="false">IF(OR(D298=12,D298&lt;=2),"Winter",IF(D298&lt;=5,"Spring",IF(D298&lt;=8,"Summer","Autumn")))</f>
        <v>Winter</v>
      </c>
      <c r="H298" s="11" t="n">
        <f aca="false">weather_data!E298-weather_data!D298</f>
        <v>-1.1</v>
      </c>
      <c r="I298" s="10" t="n">
        <f aca="false">IF(OR(weather_data!H298="light rain",weather_data!H298="moderate rain",weather_data!H298="drizzle",weather_data!H298="thunderstorm"),1,0)</f>
        <v>0</v>
      </c>
      <c r="J298" s="10" t="n">
        <f aca="false">IF(weather_data!I298&gt;=25,1,0)</f>
        <v>1</v>
      </c>
    </row>
    <row r="299" customFormat="false" ht="15" hidden="false" customHeight="false" outlineLevel="0" collapsed="false">
      <c r="A299" s="8" t="n">
        <f aca="false">weather_data!B299</f>
        <v>46061.3958333333</v>
      </c>
      <c r="B299" s="9" t="n">
        <f aca="false">INT(A299)</f>
        <v>46061</v>
      </c>
      <c r="C299" s="10" t="str">
        <f aca="false">TEXT(B299,"yyyy-mm")</f>
        <v>2026-02</v>
      </c>
      <c r="D299" s="10" t="n">
        <f aca="false">MONTH(B299)</f>
        <v>2</v>
      </c>
      <c r="E299" s="10" t="str">
        <f aca="false">TEXT(B299,"mmmm")</f>
        <v>luty</v>
      </c>
      <c r="F299" s="10" t="str">
        <f aca="false">"Q"&amp;ROUNDUP(D299/3,0)</f>
        <v>Q1</v>
      </c>
      <c r="G299" s="10" t="str">
        <f aca="false">IF(OR(D299=12,D299&lt;=2),"Winter",IF(D299&lt;=5,"Spring",IF(D299&lt;=8,"Summer","Autumn")))</f>
        <v>Winter</v>
      </c>
      <c r="H299" s="11" t="n">
        <f aca="false">weather_data!E299-weather_data!D299</f>
        <v>-1.1</v>
      </c>
      <c r="I299" s="10" t="n">
        <f aca="false">IF(OR(weather_data!H299="light rain",weather_data!H299="moderate rain",weather_data!H299="drizzle",weather_data!H299="thunderstorm"),1,0)</f>
        <v>1</v>
      </c>
      <c r="J299" s="10" t="n">
        <f aca="false">IF(weather_data!I299&gt;=25,1,0)</f>
        <v>0</v>
      </c>
    </row>
    <row r="300" customFormat="false" ht="15" hidden="false" customHeight="false" outlineLevel="0" collapsed="false">
      <c r="A300" s="8" t="n">
        <f aca="false">weather_data!B300</f>
        <v>46062.2847222222</v>
      </c>
      <c r="B300" s="9" t="n">
        <f aca="false">INT(A300)</f>
        <v>46062</v>
      </c>
      <c r="C300" s="10" t="str">
        <f aca="false">TEXT(B300,"yyyy-mm")</f>
        <v>2026-02</v>
      </c>
      <c r="D300" s="10" t="n">
        <f aca="false">MONTH(B300)</f>
        <v>2</v>
      </c>
      <c r="E300" s="10" t="str">
        <f aca="false">TEXT(B300,"mmmm")</f>
        <v>luty</v>
      </c>
      <c r="F300" s="10" t="str">
        <f aca="false">"Q"&amp;ROUNDUP(D300/3,0)</f>
        <v>Q1</v>
      </c>
      <c r="G300" s="10" t="str">
        <f aca="false">IF(OR(D300=12,D300&lt;=2),"Winter",IF(D300&lt;=5,"Spring",IF(D300&lt;=8,"Summer","Autumn")))</f>
        <v>Winter</v>
      </c>
      <c r="H300" s="11" t="n">
        <f aca="false">weather_data!E300-weather_data!D300</f>
        <v>-1</v>
      </c>
      <c r="I300" s="10" t="n">
        <f aca="false">IF(OR(weather_data!H300="light rain",weather_data!H300="moderate rain",weather_data!H300="drizzle",weather_data!H300="thunderstorm"),1,0)</f>
        <v>0</v>
      </c>
      <c r="J300" s="10" t="n">
        <f aca="false">IF(weather_data!I300&gt;=25,1,0)</f>
        <v>0</v>
      </c>
    </row>
    <row r="301" customFormat="false" ht="15" hidden="false" customHeight="false" outlineLevel="0" collapsed="false">
      <c r="A301" s="8" t="n">
        <f aca="false">weather_data!B301</f>
        <v>46063.8541666667</v>
      </c>
      <c r="B301" s="9" t="n">
        <f aca="false">INT(A301)</f>
        <v>46063</v>
      </c>
      <c r="C301" s="10" t="str">
        <f aca="false">TEXT(B301,"yyyy-mm")</f>
        <v>2026-02</v>
      </c>
      <c r="D301" s="10" t="n">
        <f aca="false">MONTH(B301)</f>
        <v>2</v>
      </c>
      <c r="E301" s="10" t="str">
        <f aca="false">TEXT(B301,"mmmm")</f>
        <v>luty</v>
      </c>
      <c r="F301" s="10" t="str">
        <f aca="false">"Q"&amp;ROUNDUP(D301/3,0)</f>
        <v>Q1</v>
      </c>
      <c r="G301" s="10" t="str">
        <f aca="false">IF(OR(D301=12,D301&lt;=2),"Winter",IF(D301&lt;=5,"Spring",IF(D301&lt;=8,"Summer","Autumn")))</f>
        <v>Winter</v>
      </c>
      <c r="H301" s="11" t="n">
        <f aca="false">weather_data!E301-weather_data!D301</f>
        <v>-2</v>
      </c>
      <c r="I301" s="10" t="n">
        <f aca="false">IF(OR(weather_data!H301="light rain",weather_data!H301="moderate rain",weather_data!H301="drizzle",weather_data!H301="thunderstorm"),1,0)</f>
        <v>1</v>
      </c>
      <c r="J301" s="10" t="n">
        <f aca="false">IF(weather_data!I301&gt;=25,1,0)</f>
        <v>0</v>
      </c>
    </row>
    <row r="302" customFormat="false" ht="15" hidden="false" customHeight="false" outlineLevel="0" collapsed="false">
      <c r="A302" s="8" t="n">
        <f aca="false">weather_data!B302</f>
        <v>46064.2986111111</v>
      </c>
      <c r="B302" s="9" t="n">
        <f aca="false">INT(A302)</f>
        <v>46064</v>
      </c>
      <c r="C302" s="10" t="str">
        <f aca="false">TEXT(B302,"yyyy-mm")</f>
        <v>2026-02</v>
      </c>
      <c r="D302" s="10" t="n">
        <f aca="false">MONTH(B302)</f>
        <v>2</v>
      </c>
      <c r="E302" s="10" t="str">
        <f aca="false">TEXT(B302,"mmmm")</f>
        <v>luty</v>
      </c>
      <c r="F302" s="10" t="str">
        <f aca="false">"Q"&amp;ROUNDUP(D302/3,0)</f>
        <v>Q1</v>
      </c>
      <c r="G302" s="10" t="str">
        <f aca="false">IF(OR(D302=12,D302&lt;=2),"Winter",IF(D302&lt;=5,"Spring",IF(D302&lt;=8,"Summer","Autumn")))</f>
        <v>Winter</v>
      </c>
      <c r="H302" s="11" t="n">
        <f aca="false">weather_data!E302-weather_data!D302</f>
        <v>-0.6</v>
      </c>
      <c r="I302" s="10" t="n">
        <f aca="false">IF(OR(weather_data!H302="light rain",weather_data!H302="moderate rain",weather_data!H302="drizzle",weather_data!H302="thunderstorm"),1,0)</f>
        <v>0</v>
      </c>
      <c r="J302" s="10" t="n">
        <f aca="false">IF(weather_data!I302&gt;=25,1,0)</f>
        <v>0</v>
      </c>
    </row>
    <row r="303" customFormat="false" ht="15" hidden="false" customHeight="false" outlineLevel="0" collapsed="false">
      <c r="A303" s="8" t="n">
        <f aca="false">weather_data!B303</f>
        <v>46065.7361111111</v>
      </c>
      <c r="B303" s="9" t="n">
        <f aca="false">INT(A303)</f>
        <v>46065</v>
      </c>
      <c r="C303" s="10" t="str">
        <f aca="false">TEXT(B303,"yyyy-mm")</f>
        <v>2026-02</v>
      </c>
      <c r="D303" s="10" t="n">
        <f aca="false">MONTH(B303)</f>
        <v>2</v>
      </c>
      <c r="E303" s="10" t="str">
        <f aca="false">TEXT(B303,"mmmm")</f>
        <v>luty</v>
      </c>
      <c r="F303" s="10" t="str">
        <f aca="false">"Q"&amp;ROUNDUP(D303/3,0)</f>
        <v>Q1</v>
      </c>
      <c r="G303" s="10" t="str">
        <f aca="false">IF(OR(D303=12,D303&lt;=2),"Winter",IF(D303&lt;=5,"Spring",IF(D303&lt;=8,"Summer","Autumn")))</f>
        <v>Winter</v>
      </c>
      <c r="H303" s="11" t="n">
        <f aca="false">weather_data!E303-weather_data!D303</f>
        <v>-0.300000000000001</v>
      </c>
      <c r="I303" s="10" t="n">
        <f aca="false">IF(OR(weather_data!H303="light rain",weather_data!H303="moderate rain",weather_data!H303="drizzle",weather_data!H303="thunderstorm"),1,0)</f>
        <v>0</v>
      </c>
      <c r="J303" s="10" t="n">
        <f aca="false">IF(weather_data!I303&gt;=25,1,0)</f>
        <v>0</v>
      </c>
    </row>
    <row r="304" customFormat="false" ht="15" hidden="false" customHeight="false" outlineLevel="0" collapsed="false">
      <c r="A304" s="8" t="n">
        <f aca="false">weather_data!B304</f>
        <v>46066.9097222222</v>
      </c>
      <c r="B304" s="9" t="n">
        <f aca="false">INT(A304)</f>
        <v>46066</v>
      </c>
      <c r="C304" s="10" t="str">
        <f aca="false">TEXT(B304,"yyyy-mm")</f>
        <v>2026-02</v>
      </c>
      <c r="D304" s="10" t="n">
        <f aca="false">MONTH(B304)</f>
        <v>2</v>
      </c>
      <c r="E304" s="10" t="str">
        <f aca="false">TEXT(B304,"mmmm")</f>
        <v>luty</v>
      </c>
      <c r="F304" s="10" t="str">
        <f aca="false">"Q"&amp;ROUNDUP(D304/3,0)</f>
        <v>Q1</v>
      </c>
      <c r="G304" s="10" t="str">
        <f aca="false">IF(OR(D304=12,D304&lt;=2),"Winter",IF(D304&lt;=5,"Spring",IF(D304&lt;=8,"Summer","Autumn")))</f>
        <v>Winter</v>
      </c>
      <c r="H304" s="11" t="n">
        <f aca="false">weather_data!E304-weather_data!D304</f>
        <v>1.1</v>
      </c>
      <c r="I304" s="10" t="n">
        <f aca="false">IF(OR(weather_data!H304="light rain",weather_data!H304="moderate rain",weather_data!H304="drizzle",weather_data!H304="thunderstorm"),1,0)</f>
        <v>1</v>
      </c>
      <c r="J304" s="10" t="n">
        <f aca="false">IF(weather_data!I304&gt;=25,1,0)</f>
        <v>1</v>
      </c>
    </row>
    <row r="305" customFormat="false" ht="15" hidden="false" customHeight="false" outlineLevel="0" collapsed="false">
      <c r="A305" s="8" t="n">
        <f aca="false">weather_data!B305</f>
        <v>46067.8333333333</v>
      </c>
      <c r="B305" s="9" t="n">
        <f aca="false">INT(A305)</f>
        <v>46067</v>
      </c>
      <c r="C305" s="10" t="str">
        <f aca="false">TEXT(B305,"yyyy-mm")</f>
        <v>2026-02</v>
      </c>
      <c r="D305" s="10" t="n">
        <f aca="false">MONTH(B305)</f>
        <v>2</v>
      </c>
      <c r="E305" s="10" t="str">
        <f aca="false">TEXT(B305,"mmmm")</f>
        <v>luty</v>
      </c>
      <c r="F305" s="10" t="str">
        <f aca="false">"Q"&amp;ROUNDUP(D305/3,0)</f>
        <v>Q1</v>
      </c>
      <c r="G305" s="10" t="str">
        <f aca="false">IF(OR(D305=12,D305&lt;=2),"Winter",IF(D305&lt;=5,"Spring",IF(D305&lt;=8,"Summer","Autumn")))</f>
        <v>Winter</v>
      </c>
      <c r="H305" s="11" t="n">
        <f aca="false">weather_data!E305-weather_data!D305</f>
        <v>-0.100000000000001</v>
      </c>
      <c r="I305" s="10" t="n">
        <f aca="false">IF(OR(weather_data!H305="light rain",weather_data!H305="moderate rain",weather_data!H305="drizzle",weather_data!H305="thunderstorm"),1,0)</f>
        <v>0</v>
      </c>
      <c r="J305" s="10" t="n">
        <f aca="false">IF(weather_data!I305&gt;=25,1,0)</f>
        <v>0</v>
      </c>
    </row>
    <row r="306" customFormat="false" ht="15" hidden="false" customHeight="false" outlineLevel="0" collapsed="false">
      <c r="A306" s="8" t="n">
        <f aca="false">weather_data!B306</f>
        <v>46068.5138888889</v>
      </c>
      <c r="B306" s="9" t="n">
        <f aca="false">INT(A306)</f>
        <v>46068</v>
      </c>
      <c r="C306" s="10" t="str">
        <f aca="false">TEXT(B306,"yyyy-mm")</f>
        <v>2026-02</v>
      </c>
      <c r="D306" s="10" t="n">
        <f aca="false">MONTH(B306)</f>
        <v>2</v>
      </c>
      <c r="E306" s="10" t="str">
        <f aca="false">TEXT(B306,"mmmm")</f>
        <v>luty</v>
      </c>
      <c r="F306" s="10" t="str">
        <f aca="false">"Q"&amp;ROUNDUP(D306/3,0)</f>
        <v>Q1</v>
      </c>
      <c r="G306" s="10" t="str">
        <f aca="false">IF(OR(D306=12,D306&lt;=2),"Winter",IF(D306&lt;=5,"Spring",IF(D306&lt;=8,"Summer","Autumn")))</f>
        <v>Winter</v>
      </c>
      <c r="H306" s="11" t="n">
        <f aca="false">weather_data!E306-weather_data!D306</f>
        <v>-0.9</v>
      </c>
      <c r="I306" s="10" t="n">
        <f aca="false">IF(OR(weather_data!H306="light rain",weather_data!H306="moderate rain",weather_data!H306="drizzle",weather_data!H306="thunderstorm"),1,0)</f>
        <v>0</v>
      </c>
      <c r="J306" s="10" t="n">
        <f aca="false">IF(weather_data!I306&gt;=25,1,0)</f>
        <v>0</v>
      </c>
    </row>
    <row r="307" customFormat="false" ht="15" hidden="false" customHeight="false" outlineLevel="0" collapsed="false">
      <c r="A307" s="8" t="n">
        <f aca="false">weather_data!B307</f>
        <v>46069.4305555556</v>
      </c>
      <c r="B307" s="9" t="n">
        <f aca="false">INT(A307)</f>
        <v>46069</v>
      </c>
      <c r="C307" s="10" t="str">
        <f aca="false">TEXT(B307,"yyyy-mm")</f>
        <v>2026-02</v>
      </c>
      <c r="D307" s="10" t="n">
        <f aca="false">MONTH(B307)</f>
        <v>2</v>
      </c>
      <c r="E307" s="10" t="str">
        <f aca="false">TEXT(B307,"mmmm")</f>
        <v>luty</v>
      </c>
      <c r="F307" s="10" t="str">
        <f aca="false">"Q"&amp;ROUNDUP(D307/3,0)</f>
        <v>Q1</v>
      </c>
      <c r="G307" s="10" t="str">
        <f aca="false">IF(OR(D307=12,D307&lt;=2),"Winter",IF(D307&lt;=5,"Spring",IF(D307&lt;=8,"Summer","Autumn")))</f>
        <v>Winter</v>
      </c>
      <c r="H307" s="11" t="n">
        <f aca="false">weather_data!E307-weather_data!D307</f>
        <v>-0.5</v>
      </c>
      <c r="I307" s="10" t="n">
        <f aca="false">IF(OR(weather_data!H307="light rain",weather_data!H307="moderate rain",weather_data!H307="drizzle",weather_data!H307="thunderstorm"),1,0)</f>
        <v>1</v>
      </c>
      <c r="J307" s="10" t="n">
        <f aca="false">IF(weather_data!I307&gt;=25,1,0)</f>
        <v>0</v>
      </c>
    </row>
    <row r="308" customFormat="false" ht="15" hidden="false" customHeight="false" outlineLevel="0" collapsed="false">
      <c r="A308" s="8" t="n">
        <f aca="false">weather_data!B308</f>
        <v>46070.8680555556</v>
      </c>
      <c r="B308" s="9" t="n">
        <f aca="false">INT(A308)</f>
        <v>46070</v>
      </c>
      <c r="C308" s="10" t="str">
        <f aca="false">TEXT(B308,"yyyy-mm")</f>
        <v>2026-02</v>
      </c>
      <c r="D308" s="10" t="n">
        <f aca="false">MONTH(B308)</f>
        <v>2</v>
      </c>
      <c r="E308" s="10" t="str">
        <f aca="false">TEXT(B308,"mmmm")</f>
        <v>luty</v>
      </c>
      <c r="F308" s="10" t="str">
        <f aca="false">"Q"&amp;ROUNDUP(D308/3,0)</f>
        <v>Q1</v>
      </c>
      <c r="G308" s="10" t="str">
        <f aca="false">IF(OR(D308=12,D308&lt;=2),"Winter",IF(D308&lt;=5,"Spring",IF(D308&lt;=8,"Summer","Autumn")))</f>
        <v>Winter</v>
      </c>
      <c r="H308" s="11" t="n">
        <f aca="false">weather_data!E308-weather_data!D308</f>
        <v>-0.0999999999999996</v>
      </c>
      <c r="I308" s="10" t="n">
        <f aca="false">IF(OR(weather_data!H308="light rain",weather_data!H308="moderate rain",weather_data!H308="drizzle",weather_data!H308="thunderstorm"),1,0)</f>
        <v>0</v>
      </c>
      <c r="J308" s="10" t="n">
        <f aca="false">IF(weather_data!I308&gt;=25,1,0)</f>
        <v>0</v>
      </c>
    </row>
    <row r="309" customFormat="false" ht="15" hidden="false" customHeight="false" outlineLevel="0" collapsed="false">
      <c r="A309" s="8" t="n">
        <f aca="false">weather_data!B309</f>
        <v>46072.875</v>
      </c>
      <c r="B309" s="9" t="n">
        <f aca="false">INT(A309)</f>
        <v>46072</v>
      </c>
      <c r="C309" s="10" t="str">
        <f aca="false">TEXT(B309,"yyyy-mm")</f>
        <v>2026-02</v>
      </c>
      <c r="D309" s="10" t="n">
        <f aca="false">MONTH(B309)</f>
        <v>2</v>
      </c>
      <c r="E309" s="10" t="str">
        <f aca="false">TEXT(B309,"mmmm")</f>
        <v>luty</v>
      </c>
      <c r="F309" s="10" t="str">
        <f aca="false">"Q"&amp;ROUNDUP(D309/3,0)</f>
        <v>Q1</v>
      </c>
      <c r="G309" s="10" t="str">
        <f aca="false">IF(OR(D309=12,D309&lt;=2),"Winter",IF(D309&lt;=5,"Spring",IF(D309&lt;=8,"Summer","Autumn")))</f>
        <v>Winter</v>
      </c>
      <c r="H309" s="11" t="n">
        <f aca="false">weather_data!E309-weather_data!D309</f>
        <v>0</v>
      </c>
      <c r="I309" s="10" t="n">
        <f aca="false">IF(OR(weather_data!H309="light rain",weather_data!H309="moderate rain",weather_data!H309="drizzle",weather_data!H309="thunderstorm"),1,0)</f>
        <v>0</v>
      </c>
      <c r="J309" s="10" t="n">
        <f aca="false">IF(weather_data!I309&gt;=25,1,0)</f>
        <v>0</v>
      </c>
    </row>
    <row r="310" customFormat="false" ht="15" hidden="false" customHeight="false" outlineLevel="0" collapsed="false">
      <c r="A310" s="8" t="n">
        <f aca="false">weather_data!B310</f>
        <v>46073.2847222222</v>
      </c>
      <c r="B310" s="9" t="n">
        <f aca="false">INT(A310)</f>
        <v>46073</v>
      </c>
      <c r="C310" s="10" t="str">
        <f aca="false">TEXT(B310,"yyyy-mm")</f>
        <v>2026-02</v>
      </c>
      <c r="D310" s="10" t="n">
        <f aca="false">MONTH(B310)</f>
        <v>2</v>
      </c>
      <c r="E310" s="10" t="str">
        <f aca="false">TEXT(B310,"mmmm")</f>
        <v>luty</v>
      </c>
      <c r="F310" s="10" t="str">
        <f aca="false">"Q"&amp;ROUNDUP(D310/3,0)</f>
        <v>Q1</v>
      </c>
      <c r="G310" s="10" t="str">
        <f aca="false">IF(OR(D310=12,D310&lt;=2),"Winter",IF(D310&lt;=5,"Spring",IF(D310&lt;=8,"Summer","Autumn")))</f>
        <v>Winter</v>
      </c>
      <c r="H310" s="11" t="n">
        <f aca="false">weather_data!E310-weather_data!D310</f>
        <v>-0.700000000000001</v>
      </c>
      <c r="I310" s="10" t="n">
        <f aca="false">IF(OR(weather_data!H310="light rain",weather_data!H310="moderate rain",weather_data!H310="drizzle",weather_data!H310="thunderstorm"),1,0)</f>
        <v>0</v>
      </c>
      <c r="J310" s="10" t="n">
        <f aca="false">IF(weather_data!I310&gt;=25,1,0)</f>
        <v>0</v>
      </c>
    </row>
    <row r="311" customFormat="false" ht="15" hidden="false" customHeight="false" outlineLevel="0" collapsed="false">
      <c r="A311" s="8" t="n">
        <f aca="false">weather_data!B311</f>
        <v>46074.5763888889</v>
      </c>
      <c r="B311" s="9" t="n">
        <f aca="false">INT(A311)</f>
        <v>46074</v>
      </c>
      <c r="C311" s="10" t="str">
        <f aca="false">TEXT(B311,"yyyy-mm")</f>
        <v>2026-02</v>
      </c>
      <c r="D311" s="10" t="n">
        <f aca="false">MONTH(B311)</f>
        <v>2</v>
      </c>
      <c r="E311" s="10" t="str">
        <f aca="false">TEXT(B311,"mmmm")</f>
        <v>luty</v>
      </c>
      <c r="F311" s="10" t="str">
        <f aca="false">"Q"&amp;ROUNDUP(D311/3,0)</f>
        <v>Q1</v>
      </c>
      <c r="G311" s="10" t="str">
        <f aca="false">IF(OR(D311=12,D311&lt;=2),"Winter",IF(D311&lt;=5,"Spring",IF(D311&lt;=8,"Summer","Autumn")))</f>
        <v>Winter</v>
      </c>
      <c r="H311" s="11" t="n">
        <f aca="false">weather_data!E311-weather_data!D311</f>
        <v>0.4</v>
      </c>
      <c r="I311" s="10" t="n">
        <f aca="false">IF(OR(weather_data!H311="light rain",weather_data!H311="moderate rain",weather_data!H311="drizzle",weather_data!H311="thunderstorm"),1,0)</f>
        <v>0</v>
      </c>
      <c r="J311" s="10" t="n">
        <f aca="false">IF(weather_data!I311&gt;=25,1,0)</f>
        <v>0</v>
      </c>
    </row>
    <row r="312" customFormat="false" ht="15" hidden="false" customHeight="false" outlineLevel="0" collapsed="false">
      <c r="A312" s="8" t="n">
        <f aca="false">weather_data!B312</f>
        <v>46075.4722222222</v>
      </c>
      <c r="B312" s="9" t="n">
        <f aca="false">INT(A312)</f>
        <v>46075</v>
      </c>
      <c r="C312" s="10" t="str">
        <f aca="false">TEXT(B312,"yyyy-mm")</f>
        <v>2026-02</v>
      </c>
      <c r="D312" s="10" t="n">
        <f aca="false">MONTH(B312)</f>
        <v>2</v>
      </c>
      <c r="E312" s="10" t="str">
        <f aca="false">TEXT(B312,"mmmm")</f>
        <v>luty</v>
      </c>
      <c r="F312" s="10" t="str">
        <f aca="false">"Q"&amp;ROUNDUP(D312/3,0)</f>
        <v>Q1</v>
      </c>
      <c r="G312" s="10" t="str">
        <f aca="false">IF(OR(D312=12,D312&lt;=2),"Winter",IF(D312&lt;=5,"Spring",IF(D312&lt;=8,"Summer","Autumn")))</f>
        <v>Winter</v>
      </c>
      <c r="H312" s="11" t="n">
        <f aca="false">weather_data!E312-weather_data!D312</f>
        <v>-0.6</v>
      </c>
      <c r="I312" s="10" t="n">
        <f aca="false">IF(OR(weather_data!H312="light rain",weather_data!H312="moderate rain",weather_data!H312="drizzle",weather_data!H312="thunderstorm"),1,0)</f>
        <v>0</v>
      </c>
      <c r="J312" s="10" t="n">
        <f aca="false">IF(weather_data!I312&gt;=25,1,0)</f>
        <v>0</v>
      </c>
    </row>
    <row r="313" customFormat="false" ht="15" hidden="false" customHeight="false" outlineLevel="0" collapsed="false">
      <c r="A313" s="8" t="n">
        <f aca="false">weather_data!B313</f>
        <v>46076.2777777778</v>
      </c>
      <c r="B313" s="9" t="n">
        <f aca="false">INT(A313)</f>
        <v>46076</v>
      </c>
      <c r="C313" s="10" t="str">
        <f aca="false">TEXT(B313,"yyyy-mm")</f>
        <v>2026-02</v>
      </c>
      <c r="D313" s="10" t="n">
        <f aca="false">MONTH(B313)</f>
        <v>2</v>
      </c>
      <c r="E313" s="10" t="str">
        <f aca="false">TEXT(B313,"mmmm")</f>
        <v>luty</v>
      </c>
      <c r="F313" s="10" t="str">
        <f aca="false">"Q"&amp;ROUNDUP(D313/3,0)</f>
        <v>Q1</v>
      </c>
      <c r="G313" s="10" t="str">
        <f aca="false">IF(OR(D313=12,D313&lt;=2),"Winter",IF(D313&lt;=5,"Spring",IF(D313&lt;=8,"Summer","Autumn")))</f>
        <v>Winter</v>
      </c>
      <c r="H313" s="11" t="n">
        <f aca="false">weather_data!E313-weather_data!D313</f>
        <v>-1.1</v>
      </c>
      <c r="I313" s="10" t="n">
        <f aca="false">IF(OR(weather_data!H313="light rain",weather_data!H313="moderate rain",weather_data!H313="drizzle",weather_data!H313="thunderstorm"),1,0)</f>
        <v>0</v>
      </c>
      <c r="J313" s="10" t="n">
        <f aca="false">IF(weather_data!I313&gt;=25,1,0)</f>
        <v>0</v>
      </c>
    </row>
    <row r="314" customFormat="false" ht="15" hidden="false" customHeight="false" outlineLevel="0" collapsed="false">
      <c r="A314" s="8" t="n">
        <f aca="false">weather_data!B314</f>
        <v>46077.7916666667</v>
      </c>
      <c r="B314" s="9" t="n">
        <f aca="false">INT(A314)</f>
        <v>46077</v>
      </c>
      <c r="C314" s="10" t="str">
        <f aca="false">TEXT(B314,"yyyy-mm")</f>
        <v>2026-02</v>
      </c>
      <c r="D314" s="10" t="n">
        <f aca="false">MONTH(B314)</f>
        <v>2</v>
      </c>
      <c r="E314" s="10" t="str">
        <f aca="false">TEXT(B314,"mmmm")</f>
        <v>luty</v>
      </c>
      <c r="F314" s="10" t="str">
        <f aca="false">"Q"&amp;ROUNDUP(D314/3,0)</f>
        <v>Q1</v>
      </c>
      <c r="G314" s="10" t="str">
        <f aca="false">IF(OR(D314=12,D314&lt;=2),"Winter",IF(D314&lt;=5,"Spring",IF(D314&lt;=8,"Summer","Autumn")))</f>
        <v>Winter</v>
      </c>
      <c r="H314" s="11" t="n">
        <f aca="false">weather_data!E314-weather_data!D314</f>
        <v>-0.5</v>
      </c>
      <c r="I314" s="10" t="n">
        <f aca="false">IF(OR(weather_data!H314="light rain",weather_data!H314="moderate rain",weather_data!H314="drizzle",weather_data!H314="thunderstorm"),1,0)</f>
        <v>0</v>
      </c>
      <c r="J314" s="10" t="n">
        <f aca="false">IF(weather_data!I314&gt;=25,1,0)</f>
        <v>0</v>
      </c>
    </row>
    <row r="315" customFormat="false" ht="15" hidden="false" customHeight="false" outlineLevel="0" collapsed="false">
      <c r="A315" s="8" t="n">
        <f aca="false">weather_data!B315</f>
        <v>46079.5416666667</v>
      </c>
      <c r="B315" s="9" t="n">
        <f aca="false">INT(A315)</f>
        <v>46079</v>
      </c>
      <c r="C315" s="10" t="str">
        <f aca="false">TEXT(B315,"yyyy-mm")</f>
        <v>2026-02</v>
      </c>
      <c r="D315" s="10" t="n">
        <f aca="false">MONTH(B315)</f>
        <v>2</v>
      </c>
      <c r="E315" s="10" t="str">
        <f aca="false">TEXT(B315,"mmmm")</f>
        <v>luty</v>
      </c>
      <c r="F315" s="10" t="str">
        <f aca="false">"Q"&amp;ROUNDUP(D315/3,0)</f>
        <v>Q1</v>
      </c>
      <c r="G315" s="10" t="str">
        <f aca="false">IF(OR(D315=12,D315&lt;=2),"Winter",IF(D315&lt;=5,"Spring",IF(D315&lt;=8,"Summer","Autumn")))</f>
        <v>Winter</v>
      </c>
      <c r="H315" s="11" t="n">
        <f aca="false">weather_data!E315-weather_data!D315</f>
        <v>-0.299999999999999</v>
      </c>
      <c r="I315" s="10" t="n">
        <f aca="false">IF(OR(weather_data!H315="light rain",weather_data!H315="moderate rain",weather_data!H315="drizzle",weather_data!H315="thunderstorm"),1,0)</f>
        <v>0</v>
      </c>
      <c r="J315" s="10" t="n">
        <f aca="false">IF(weather_data!I315&gt;=25,1,0)</f>
        <v>0</v>
      </c>
    </row>
    <row r="316" customFormat="false" ht="15" hidden="false" customHeight="false" outlineLevel="0" collapsed="false">
      <c r="A316" s="8" t="n">
        <f aca="false">weather_data!B316</f>
        <v>46080.8333333333</v>
      </c>
      <c r="B316" s="9" t="n">
        <f aca="false">INT(A316)</f>
        <v>46080</v>
      </c>
      <c r="C316" s="10" t="str">
        <f aca="false">TEXT(B316,"yyyy-mm")</f>
        <v>2026-02</v>
      </c>
      <c r="D316" s="10" t="n">
        <f aca="false">MONTH(B316)</f>
        <v>2</v>
      </c>
      <c r="E316" s="10" t="str">
        <f aca="false">TEXT(B316,"mmmm")</f>
        <v>luty</v>
      </c>
      <c r="F316" s="10" t="str">
        <f aca="false">"Q"&amp;ROUNDUP(D316/3,0)</f>
        <v>Q1</v>
      </c>
      <c r="G316" s="10" t="str">
        <f aca="false">IF(OR(D316=12,D316&lt;=2),"Winter",IF(D316&lt;=5,"Spring",IF(D316&lt;=8,"Summer","Autumn")))</f>
        <v>Winter</v>
      </c>
      <c r="H316" s="11" t="n">
        <f aca="false">weather_data!E316-weather_data!D316</f>
        <v>0.0999999999999996</v>
      </c>
      <c r="I316" s="10" t="n">
        <f aca="false">IF(OR(weather_data!H316="light rain",weather_data!H316="moderate rain",weather_data!H316="drizzle",weather_data!H316="thunderstorm"),1,0)</f>
        <v>0</v>
      </c>
      <c r="J316" s="10" t="n">
        <f aca="false">IF(weather_data!I316&gt;=25,1,0)</f>
        <v>0</v>
      </c>
    </row>
    <row r="317" customFormat="false" ht="15" hidden="false" customHeight="false" outlineLevel="0" collapsed="false">
      <c r="A317" s="8" t="n">
        <f aca="false">weather_data!B317</f>
        <v>46081.4375</v>
      </c>
      <c r="B317" s="9" t="n">
        <f aca="false">INT(A317)</f>
        <v>46081</v>
      </c>
      <c r="C317" s="10" t="str">
        <f aca="false">TEXT(B317,"yyyy-mm")</f>
        <v>2026-02</v>
      </c>
      <c r="D317" s="10" t="n">
        <f aca="false">MONTH(B317)</f>
        <v>2</v>
      </c>
      <c r="E317" s="10" t="str">
        <f aca="false">TEXT(B317,"mmmm")</f>
        <v>luty</v>
      </c>
      <c r="F317" s="10" t="str">
        <f aca="false">"Q"&amp;ROUNDUP(D317/3,0)</f>
        <v>Q1</v>
      </c>
      <c r="G317" s="10" t="str">
        <f aca="false">IF(OR(D317=12,D317&lt;=2),"Winter",IF(D317&lt;=5,"Spring",IF(D317&lt;=8,"Summer","Autumn")))</f>
        <v>Winter</v>
      </c>
      <c r="H317" s="11" t="n">
        <f aca="false">weather_data!E317-weather_data!D317</f>
        <v>-0.600000000000001</v>
      </c>
      <c r="I317" s="10" t="n">
        <f aca="false">IF(OR(weather_data!H317="light rain",weather_data!H317="moderate rain",weather_data!H317="drizzle",weather_data!H317="thunderstorm"),1,0)</f>
        <v>0</v>
      </c>
      <c r="J317" s="10" t="n">
        <f aca="false">IF(weather_data!I317&gt;=25,1,0)</f>
        <v>0</v>
      </c>
    </row>
    <row r="318" customFormat="false" ht="15" hidden="false" customHeight="false" outlineLevel="0" collapsed="false">
      <c r="A318" s="8" t="n">
        <f aca="false">weather_data!B318</f>
        <v>46082.6527777778</v>
      </c>
      <c r="B318" s="9" t="n">
        <f aca="false">INT(A318)</f>
        <v>46082</v>
      </c>
      <c r="C318" s="10" t="str">
        <f aca="false">TEXT(B318,"yyyy-mm")</f>
        <v>2026-03</v>
      </c>
      <c r="D318" s="10" t="n">
        <f aca="false">MONTH(B318)</f>
        <v>3</v>
      </c>
      <c r="E318" s="10" t="str">
        <f aca="false">TEXT(B318,"mmmm")</f>
        <v>marzec</v>
      </c>
      <c r="F318" s="10" t="str">
        <f aca="false">"Q"&amp;ROUNDUP(D318/3,0)</f>
        <v>Q1</v>
      </c>
      <c r="G318" s="10" t="str">
        <f aca="false">IF(OR(D318=12,D318&lt;=2),"Winter",IF(D318&lt;=5,"Spring",IF(D318&lt;=8,"Summer","Autumn")))</f>
        <v>Spring</v>
      </c>
      <c r="H318" s="11" t="n">
        <f aca="false">weather_data!E318-weather_data!D318</f>
        <v>-0.5</v>
      </c>
      <c r="I318" s="10" t="n">
        <f aca="false">IF(OR(weather_data!H318="light rain",weather_data!H318="moderate rain",weather_data!H318="drizzle",weather_data!H318="thunderstorm"),1,0)</f>
        <v>0</v>
      </c>
      <c r="J318" s="10" t="n">
        <f aca="false">IF(weather_data!I318&gt;=25,1,0)</f>
        <v>0</v>
      </c>
    </row>
    <row r="319" customFormat="false" ht="15" hidden="false" customHeight="false" outlineLevel="0" collapsed="false">
      <c r="A319" s="8" t="n">
        <f aca="false">weather_data!B319</f>
        <v>46083.6041666667</v>
      </c>
      <c r="B319" s="9" t="n">
        <f aca="false">INT(A319)</f>
        <v>46083</v>
      </c>
      <c r="C319" s="10" t="str">
        <f aca="false">TEXT(B319,"yyyy-mm")</f>
        <v>2026-03</v>
      </c>
      <c r="D319" s="10" t="n">
        <f aca="false">MONTH(B319)</f>
        <v>3</v>
      </c>
      <c r="E319" s="10" t="str">
        <f aca="false">TEXT(B319,"mmmm")</f>
        <v>marzec</v>
      </c>
      <c r="F319" s="10" t="str">
        <f aca="false">"Q"&amp;ROUNDUP(D319/3,0)</f>
        <v>Q1</v>
      </c>
      <c r="G319" s="10" t="str">
        <f aca="false">IF(OR(D319=12,D319&lt;=2),"Winter",IF(D319&lt;=5,"Spring",IF(D319&lt;=8,"Summer","Autumn")))</f>
        <v>Spring</v>
      </c>
      <c r="H319" s="11" t="n">
        <f aca="false">weather_data!E319-weather_data!D319</f>
        <v>-1.1</v>
      </c>
      <c r="I319" s="10" t="n">
        <f aca="false">IF(OR(weather_data!H319="light rain",weather_data!H319="moderate rain",weather_data!H319="drizzle",weather_data!H319="thunderstorm"),1,0)</f>
        <v>0</v>
      </c>
      <c r="J319" s="10" t="n">
        <f aca="false">IF(weather_data!I319&gt;=25,1,0)</f>
        <v>0</v>
      </c>
    </row>
    <row r="320" customFormat="false" ht="15" hidden="false" customHeight="false" outlineLevel="0" collapsed="false">
      <c r="A320" s="8" t="n">
        <f aca="false">weather_data!B320</f>
        <v>46084.8958333333</v>
      </c>
      <c r="B320" s="9" t="n">
        <f aca="false">INT(A320)</f>
        <v>46084</v>
      </c>
      <c r="C320" s="10" t="str">
        <f aca="false">TEXT(B320,"yyyy-mm")</f>
        <v>2026-03</v>
      </c>
      <c r="D320" s="10" t="n">
        <f aca="false">MONTH(B320)</f>
        <v>3</v>
      </c>
      <c r="E320" s="10" t="str">
        <f aca="false">TEXT(B320,"mmmm")</f>
        <v>marzec</v>
      </c>
      <c r="F320" s="10" t="str">
        <f aca="false">"Q"&amp;ROUNDUP(D320/3,0)</f>
        <v>Q1</v>
      </c>
      <c r="G320" s="10" t="str">
        <f aca="false">IF(OR(D320=12,D320&lt;=2),"Winter",IF(D320&lt;=5,"Spring",IF(D320&lt;=8,"Summer","Autumn")))</f>
        <v>Spring</v>
      </c>
      <c r="H320" s="11" t="n">
        <f aca="false">weather_data!E320-weather_data!D320</f>
        <v>-0.9</v>
      </c>
      <c r="I320" s="10" t="n">
        <f aca="false">IF(OR(weather_data!H320="light rain",weather_data!H320="moderate rain",weather_data!H320="drizzle",weather_data!H320="thunderstorm"),1,0)</f>
        <v>1</v>
      </c>
      <c r="J320" s="10" t="n">
        <f aca="false">IF(weather_data!I320&gt;=25,1,0)</f>
        <v>1</v>
      </c>
    </row>
    <row r="321" customFormat="false" ht="15" hidden="false" customHeight="false" outlineLevel="0" collapsed="false">
      <c r="A321" s="8" t="n">
        <f aca="false">weather_data!B321</f>
        <v>46085.5625</v>
      </c>
      <c r="B321" s="9" t="n">
        <f aca="false">INT(A321)</f>
        <v>46085</v>
      </c>
      <c r="C321" s="10" t="str">
        <f aca="false">TEXT(B321,"yyyy-mm")</f>
        <v>2026-03</v>
      </c>
      <c r="D321" s="10" t="n">
        <f aca="false">MONTH(B321)</f>
        <v>3</v>
      </c>
      <c r="E321" s="10" t="str">
        <f aca="false">TEXT(B321,"mmmm")</f>
        <v>marzec</v>
      </c>
      <c r="F321" s="10" t="str">
        <f aca="false">"Q"&amp;ROUNDUP(D321/3,0)</f>
        <v>Q1</v>
      </c>
      <c r="G321" s="10" t="str">
        <f aca="false">IF(OR(D321=12,D321&lt;=2),"Winter",IF(D321&lt;=5,"Spring",IF(D321&lt;=8,"Summer","Autumn")))</f>
        <v>Spring</v>
      </c>
      <c r="H321" s="11" t="n">
        <f aca="false">weather_data!E321-weather_data!D321</f>
        <v>0.300000000000001</v>
      </c>
      <c r="I321" s="10" t="n">
        <f aca="false">IF(OR(weather_data!H321="light rain",weather_data!H321="moderate rain",weather_data!H321="drizzle",weather_data!H321="thunderstorm"),1,0)</f>
        <v>0</v>
      </c>
      <c r="J321" s="10" t="n">
        <f aca="false">IF(weather_data!I321&gt;=25,1,0)</f>
        <v>0</v>
      </c>
    </row>
    <row r="322" customFormat="false" ht="15" hidden="false" customHeight="false" outlineLevel="0" collapsed="false">
      <c r="A322" s="8" t="n">
        <f aca="false">weather_data!B322</f>
        <v>46086.4375</v>
      </c>
      <c r="B322" s="9" t="n">
        <f aca="false">INT(A322)</f>
        <v>46086</v>
      </c>
      <c r="C322" s="10" t="str">
        <f aca="false">TEXT(B322,"yyyy-mm")</f>
        <v>2026-03</v>
      </c>
      <c r="D322" s="10" t="n">
        <f aca="false">MONTH(B322)</f>
        <v>3</v>
      </c>
      <c r="E322" s="10" t="str">
        <f aca="false">TEXT(B322,"mmmm")</f>
        <v>marzec</v>
      </c>
      <c r="F322" s="10" t="str">
        <f aca="false">"Q"&amp;ROUNDUP(D322/3,0)</f>
        <v>Q1</v>
      </c>
      <c r="G322" s="10" t="str">
        <f aca="false">IF(OR(D322=12,D322&lt;=2),"Winter",IF(D322&lt;=5,"Spring",IF(D322&lt;=8,"Summer","Autumn")))</f>
        <v>Spring</v>
      </c>
      <c r="H322" s="11" t="n">
        <f aca="false">weather_data!E322-weather_data!D322</f>
        <v>-1.2</v>
      </c>
      <c r="I322" s="10" t="n">
        <f aca="false">IF(OR(weather_data!H322="light rain",weather_data!H322="moderate rain",weather_data!H322="drizzle",weather_data!H322="thunderstorm"),1,0)</f>
        <v>0</v>
      </c>
      <c r="J322" s="10" t="n">
        <f aca="false">IF(weather_data!I322&gt;=25,1,0)</f>
        <v>0</v>
      </c>
    </row>
    <row r="323" customFormat="false" ht="15" hidden="false" customHeight="false" outlineLevel="0" collapsed="false">
      <c r="A323" s="8" t="n">
        <f aca="false">weather_data!B323</f>
        <v>46087.5277777778</v>
      </c>
      <c r="B323" s="9" t="n">
        <f aca="false">INT(A323)</f>
        <v>46087</v>
      </c>
      <c r="C323" s="10" t="str">
        <f aca="false">TEXT(B323,"yyyy-mm")</f>
        <v>2026-03</v>
      </c>
      <c r="D323" s="10" t="n">
        <f aca="false">MONTH(B323)</f>
        <v>3</v>
      </c>
      <c r="E323" s="10" t="str">
        <f aca="false">TEXT(B323,"mmmm")</f>
        <v>marzec</v>
      </c>
      <c r="F323" s="10" t="str">
        <f aca="false">"Q"&amp;ROUNDUP(D323/3,0)</f>
        <v>Q1</v>
      </c>
      <c r="G323" s="10" t="str">
        <f aca="false">IF(OR(D323=12,D323&lt;=2),"Winter",IF(D323&lt;=5,"Spring",IF(D323&lt;=8,"Summer","Autumn")))</f>
        <v>Spring</v>
      </c>
      <c r="H323" s="11" t="n">
        <f aca="false">weather_data!E323-weather_data!D323</f>
        <v>0.700000000000001</v>
      </c>
      <c r="I323" s="10" t="n">
        <f aca="false">IF(OR(weather_data!H323="light rain",weather_data!H323="moderate rain",weather_data!H323="drizzle",weather_data!H323="thunderstorm"),1,0)</f>
        <v>0</v>
      </c>
      <c r="J323" s="10" t="n">
        <f aca="false">IF(weather_data!I323&gt;=25,1,0)</f>
        <v>0</v>
      </c>
    </row>
    <row r="324" customFormat="false" ht="15" hidden="false" customHeight="false" outlineLevel="0" collapsed="false">
      <c r="A324" s="8" t="n">
        <f aca="false">weather_data!B324</f>
        <v>46088.4166666667</v>
      </c>
      <c r="B324" s="9" t="n">
        <f aca="false">INT(A324)</f>
        <v>46088</v>
      </c>
      <c r="C324" s="10" t="str">
        <f aca="false">TEXT(B324,"yyyy-mm")</f>
        <v>2026-03</v>
      </c>
      <c r="D324" s="10" t="n">
        <f aca="false">MONTH(B324)</f>
        <v>3</v>
      </c>
      <c r="E324" s="10" t="str">
        <f aca="false">TEXT(B324,"mmmm")</f>
        <v>marzec</v>
      </c>
      <c r="F324" s="10" t="str">
        <f aca="false">"Q"&amp;ROUNDUP(D324/3,0)</f>
        <v>Q1</v>
      </c>
      <c r="G324" s="10" t="str">
        <f aca="false">IF(OR(D324=12,D324&lt;=2),"Winter",IF(D324&lt;=5,"Spring",IF(D324&lt;=8,"Summer","Autumn")))</f>
        <v>Spring</v>
      </c>
      <c r="H324" s="11" t="n">
        <f aca="false">weather_data!E324-weather_data!D324</f>
        <v>-0.4</v>
      </c>
      <c r="I324" s="10" t="n">
        <f aca="false">IF(OR(weather_data!H324="light rain",weather_data!H324="moderate rain",weather_data!H324="drizzle",weather_data!H324="thunderstorm"),1,0)</f>
        <v>1</v>
      </c>
      <c r="J324" s="10" t="n">
        <f aca="false">IF(weather_data!I324&gt;=25,1,0)</f>
        <v>0</v>
      </c>
    </row>
    <row r="325" customFormat="false" ht="15" hidden="false" customHeight="false" outlineLevel="0" collapsed="false">
      <c r="A325" s="8" t="n">
        <f aca="false">weather_data!B325</f>
        <v>46089.6041666667</v>
      </c>
      <c r="B325" s="9" t="n">
        <f aca="false">INT(A325)</f>
        <v>46089</v>
      </c>
      <c r="C325" s="10" t="str">
        <f aca="false">TEXT(B325,"yyyy-mm")</f>
        <v>2026-03</v>
      </c>
      <c r="D325" s="10" t="n">
        <f aca="false">MONTH(B325)</f>
        <v>3</v>
      </c>
      <c r="E325" s="10" t="str">
        <f aca="false">TEXT(B325,"mmmm")</f>
        <v>marzec</v>
      </c>
      <c r="F325" s="10" t="str">
        <f aca="false">"Q"&amp;ROUNDUP(D325/3,0)</f>
        <v>Q1</v>
      </c>
      <c r="G325" s="10" t="str">
        <f aca="false">IF(OR(D325=12,D325&lt;=2),"Winter",IF(D325&lt;=5,"Spring",IF(D325&lt;=8,"Summer","Autumn")))</f>
        <v>Spring</v>
      </c>
      <c r="H325" s="11" t="n">
        <f aca="false">weather_data!E325-weather_data!D325</f>
        <v>0.300000000000001</v>
      </c>
      <c r="I325" s="10" t="n">
        <f aca="false">IF(OR(weather_data!H325="light rain",weather_data!H325="moderate rain",weather_data!H325="drizzle",weather_data!H325="thunderstorm"),1,0)</f>
        <v>0</v>
      </c>
      <c r="J325" s="10" t="n">
        <f aca="false">IF(weather_data!I325&gt;=25,1,0)</f>
        <v>0</v>
      </c>
    </row>
    <row r="326" customFormat="false" ht="15" hidden="false" customHeight="false" outlineLevel="0" collapsed="false">
      <c r="A326" s="8" t="n">
        <f aca="false">weather_data!B326</f>
        <v>46091.6944444445</v>
      </c>
      <c r="B326" s="9" t="n">
        <f aca="false">INT(A326)</f>
        <v>46091</v>
      </c>
      <c r="C326" s="10" t="str">
        <f aca="false">TEXT(B326,"yyyy-mm")</f>
        <v>2026-03</v>
      </c>
      <c r="D326" s="10" t="n">
        <f aca="false">MONTH(B326)</f>
        <v>3</v>
      </c>
      <c r="E326" s="10" t="str">
        <f aca="false">TEXT(B326,"mmmm")</f>
        <v>marzec</v>
      </c>
      <c r="F326" s="10" t="str">
        <f aca="false">"Q"&amp;ROUNDUP(D326/3,0)</f>
        <v>Q1</v>
      </c>
      <c r="G326" s="10" t="str">
        <f aca="false">IF(OR(D326=12,D326&lt;=2),"Winter",IF(D326&lt;=5,"Spring",IF(D326&lt;=8,"Summer","Autumn")))</f>
        <v>Spring</v>
      </c>
      <c r="H326" s="11" t="n">
        <f aca="false">weather_data!E326-weather_data!D326</f>
        <v>0.6</v>
      </c>
      <c r="I326" s="10" t="n">
        <f aca="false">IF(OR(weather_data!H326="light rain",weather_data!H326="moderate rain",weather_data!H326="drizzle",weather_data!H326="thunderstorm"),1,0)</f>
        <v>0</v>
      </c>
      <c r="J326" s="10" t="n">
        <f aca="false">IF(weather_data!I326&gt;=25,1,0)</f>
        <v>1</v>
      </c>
    </row>
    <row r="327" customFormat="false" ht="15" hidden="false" customHeight="false" outlineLevel="0" collapsed="false">
      <c r="A327" s="8" t="n">
        <f aca="false">weather_data!B327</f>
        <v>46092.5833333333</v>
      </c>
      <c r="B327" s="9" t="n">
        <f aca="false">INT(A327)</f>
        <v>46092</v>
      </c>
      <c r="C327" s="10" t="str">
        <f aca="false">TEXT(B327,"yyyy-mm")</f>
        <v>2026-03</v>
      </c>
      <c r="D327" s="10" t="n">
        <f aca="false">MONTH(B327)</f>
        <v>3</v>
      </c>
      <c r="E327" s="10" t="str">
        <f aca="false">TEXT(B327,"mmmm")</f>
        <v>marzec</v>
      </c>
      <c r="F327" s="10" t="str">
        <f aca="false">"Q"&amp;ROUNDUP(D327/3,0)</f>
        <v>Q1</v>
      </c>
      <c r="G327" s="10" t="str">
        <f aca="false">IF(OR(D327=12,D327&lt;=2),"Winter",IF(D327&lt;=5,"Spring",IF(D327&lt;=8,"Summer","Autumn")))</f>
        <v>Spring</v>
      </c>
      <c r="H327" s="11" t="n">
        <f aca="false">weather_data!E327-weather_data!D327</f>
        <v>-1</v>
      </c>
      <c r="I327" s="10" t="n">
        <f aca="false">IF(OR(weather_data!H327="light rain",weather_data!H327="moderate rain",weather_data!H327="drizzle",weather_data!H327="thunderstorm"),1,0)</f>
        <v>0</v>
      </c>
      <c r="J327" s="10" t="n">
        <f aca="false">IF(weather_data!I327&gt;=25,1,0)</f>
        <v>0</v>
      </c>
    </row>
    <row r="328" customFormat="false" ht="15" hidden="false" customHeight="false" outlineLevel="0" collapsed="false">
      <c r="A328" s="8" t="n">
        <f aca="false">weather_data!B328</f>
        <v>46093.6597222222</v>
      </c>
      <c r="B328" s="9" t="n">
        <f aca="false">INT(A328)</f>
        <v>46093</v>
      </c>
      <c r="C328" s="10" t="str">
        <f aca="false">TEXT(B328,"yyyy-mm")</f>
        <v>2026-03</v>
      </c>
      <c r="D328" s="10" t="n">
        <f aca="false">MONTH(B328)</f>
        <v>3</v>
      </c>
      <c r="E328" s="10" t="str">
        <f aca="false">TEXT(B328,"mmmm")</f>
        <v>marzec</v>
      </c>
      <c r="F328" s="10" t="str">
        <f aca="false">"Q"&amp;ROUNDUP(D328/3,0)</f>
        <v>Q1</v>
      </c>
      <c r="G328" s="10" t="str">
        <f aca="false">IF(OR(D328=12,D328&lt;=2),"Winter",IF(D328&lt;=5,"Spring",IF(D328&lt;=8,"Summer","Autumn")))</f>
        <v>Spring</v>
      </c>
      <c r="H328" s="11" t="n">
        <f aca="false">weather_data!E328-weather_data!D328</f>
        <v>0.800000000000001</v>
      </c>
      <c r="I328" s="10" t="n">
        <f aca="false">IF(OR(weather_data!H328="light rain",weather_data!H328="moderate rain",weather_data!H328="drizzle",weather_data!H328="thunderstorm"),1,0)</f>
        <v>0</v>
      </c>
      <c r="J328" s="10" t="n">
        <f aca="false">IF(weather_data!I328&gt;=25,1,0)</f>
        <v>0</v>
      </c>
    </row>
    <row r="329" customFormat="false" ht="15" hidden="false" customHeight="false" outlineLevel="0" collapsed="false">
      <c r="A329" s="8" t="n">
        <f aca="false">weather_data!B329</f>
        <v>46094.6527777778</v>
      </c>
      <c r="B329" s="9" t="n">
        <f aca="false">INT(A329)</f>
        <v>46094</v>
      </c>
      <c r="C329" s="10" t="str">
        <f aca="false">TEXT(B329,"yyyy-mm")</f>
        <v>2026-03</v>
      </c>
      <c r="D329" s="10" t="n">
        <f aca="false">MONTH(B329)</f>
        <v>3</v>
      </c>
      <c r="E329" s="10" t="str">
        <f aca="false">TEXT(B329,"mmmm")</f>
        <v>marzec</v>
      </c>
      <c r="F329" s="10" t="str">
        <f aca="false">"Q"&amp;ROUNDUP(D329/3,0)</f>
        <v>Q1</v>
      </c>
      <c r="G329" s="10" t="str">
        <f aca="false">IF(OR(D329=12,D329&lt;=2),"Winter",IF(D329&lt;=5,"Spring",IF(D329&lt;=8,"Summer","Autumn")))</f>
        <v>Spring</v>
      </c>
      <c r="H329" s="11" t="n">
        <f aca="false">weather_data!E329-weather_data!D329</f>
        <v>-1.1</v>
      </c>
      <c r="I329" s="10" t="n">
        <f aca="false">IF(OR(weather_data!H329="light rain",weather_data!H329="moderate rain",weather_data!H329="drizzle",weather_data!H329="thunderstorm"),1,0)</f>
        <v>1</v>
      </c>
      <c r="J329" s="10" t="n">
        <f aca="false">IF(weather_data!I329&gt;=25,1,0)</f>
        <v>0</v>
      </c>
    </row>
    <row r="330" customFormat="false" ht="15" hidden="false" customHeight="false" outlineLevel="0" collapsed="false">
      <c r="A330" s="8" t="n">
        <f aca="false">weather_data!B330</f>
        <v>46095.8819444445</v>
      </c>
      <c r="B330" s="9" t="n">
        <f aca="false">INT(A330)</f>
        <v>46095</v>
      </c>
      <c r="C330" s="10" t="str">
        <f aca="false">TEXT(B330,"yyyy-mm")</f>
        <v>2026-03</v>
      </c>
      <c r="D330" s="10" t="n">
        <f aca="false">MONTH(B330)</f>
        <v>3</v>
      </c>
      <c r="E330" s="10" t="str">
        <f aca="false">TEXT(B330,"mmmm")</f>
        <v>marzec</v>
      </c>
      <c r="F330" s="10" t="str">
        <f aca="false">"Q"&amp;ROUNDUP(D330/3,0)</f>
        <v>Q1</v>
      </c>
      <c r="G330" s="10" t="str">
        <f aca="false">IF(OR(D330=12,D330&lt;=2),"Winter",IF(D330&lt;=5,"Spring",IF(D330&lt;=8,"Summer","Autumn")))</f>
        <v>Spring</v>
      </c>
      <c r="H330" s="11" t="n">
        <f aca="false">weather_data!E330-weather_data!D330</f>
        <v>0.5</v>
      </c>
      <c r="I330" s="10" t="n">
        <f aca="false">IF(OR(weather_data!H330="light rain",weather_data!H330="moderate rain",weather_data!H330="drizzle",weather_data!H330="thunderstorm"),1,0)</f>
        <v>1</v>
      </c>
      <c r="J330" s="10" t="n">
        <f aca="false">IF(weather_data!I330&gt;=25,1,0)</f>
        <v>1</v>
      </c>
    </row>
    <row r="331" customFormat="false" ht="15" hidden="false" customHeight="false" outlineLevel="0" collapsed="false">
      <c r="A331" s="8" t="n">
        <f aca="false">weather_data!B331</f>
        <v>46096.8611111111</v>
      </c>
      <c r="B331" s="9" t="n">
        <f aca="false">INT(A331)</f>
        <v>46096</v>
      </c>
      <c r="C331" s="10" t="str">
        <f aca="false">TEXT(B331,"yyyy-mm")</f>
        <v>2026-03</v>
      </c>
      <c r="D331" s="10" t="n">
        <f aca="false">MONTH(B331)</f>
        <v>3</v>
      </c>
      <c r="E331" s="10" t="str">
        <f aca="false">TEXT(B331,"mmmm")</f>
        <v>marzec</v>
      </c>
      <c r="F331" s="10" t="str">
        <f aca="false">"Q"&amp;ROUNDUP(D331/3,0)</f>
        <v>Q1</v>
      </c>
      <c r="G331" s="10" t="str">
        <f aca="false">IF(OR(D331=12,D331&lt;=2),"Winter",IF(D331&lt;=5,"Spring",IF(D331&lt;=8,"Summer","Autumn")))</f>
        <v>Spring</v>
      </c>
      <c r="H331" s="11" t="n">
        <f aca="false">weather_data!E331-weather_data!D331</f>
        <v>-0.800000000000001</v>
      </c>
      <c r="I331" s="10" t="n">
        <f aca="false">IF(OR(weather_data!H331="light rain",weather_data!H331="moderate rain",weather_data!H331="drizzle",weather_data!H331="thunderstorm"),1,0)</f>
        <v>1</v>
      </c>
      <c r="J331" s="10" t="n">
        <f aca="false">IF(weather_data!I331&gt;=25,1,0)</f>
        <v>1</v>
      </c>
    </row>
    <row r="332" customFormat="false" ht="15" hidden="false" customHeight="false" outlineLevel="0" collapsed="false">
      <c r="A332" s="8" t="n">
        <f aca="false">weather_data!B332</f>
        <v>46097.8888888889</v>
      </c>
      <c r="B332" s="9" t="n">
        <f aca="false">INT(A332)</f>
        <v>46097</v>
      </c>
      <c r="C332" s="10" t="str">
        <f aca="false">TEXT(B332,"yyyy-mm")</f>
        <v>2026-03</v>
      </c>
      <c r="D332" s="10" t="n">
        <f aca="false">MONTH(B332)</f>
        <v>3</v>
      </c>
      <c r="E332" s="10" t="str">
        <f aca="false">TEXT(B332,"mmmm")</f>
        <v>marzec</v>
      </c>
      <c r="F332" s="10" t="str">
        <f aca="false">"Q"&amp;ROUNDUP(D332/3,0)</f>
        <v>Q1</v>
      </c>
      <c r="G332" s="10" t="str">
        <f aca="false">IF(OR(D332=12,D332&lt;=2),"Winter",IF(D332&lt;=5,"Spring",IF(D332&lt;=8,"Summer","Autumn")))</f>
        <v>Spring</v>
      </c>
      <c r="H332" s="11" t="n">
        <f aca="false">weather_data!E332-weather_data!D332</f>
        <v>0.500000000000002</v>
      </c>
      <c r="I332" s="10" t="n">
        <f aca="false">IF(OR(weather_data!H332="light rain",weather_data!H332="moderate rain",weather_data!H332="drizzle",weather_data!H332="thunderstorm"),1,0)</f>
        <v>0</v>
      </c>
      <c r="J332" s="10" t="n">
        <f aca="false">IF(weather_data!I332&gt;=25,1,0)</f>
        <v>0</v>
      </c>
    </row>
    <row r="333" customFormat="false" ht="15" hidden="false" customHeight="false" outlineLevel="0" collapsed="false">
      <c r="A333" s="8" t="n">
        <f aca="false">weather_data!B333</f>
        <v>46098.6944444445</v>
      </c>
      <c r="B333" s="9" t="n">
        <f aca="false">INT(A333)</f>
        <v>46098</v>
      </c>
      <c r="C333" s="10" t="str">
        <f aca="false">TEXT(B333,"yyyy-mm")</f>
        <v>2026-03</v>
      </c>
      <c r="D333" s="10" t="n">
        <f aca="false">MONTH(B333)</f>
        <v>3</v>
      </c>
      <c r="E333" s="10" t="str">
        <f aca="false">TEXT(B333,"mmmm")</f>
        <v>marzec</v>
      </c>
      <c r="F333" s="10" t="str">
        <f aca="false">"Q"&amp;ROUNDUP(D333/3,0)</f>
        <v>Q1</v>
      </c>
      <c r="G333" s="10" t="str">
        <f aca="false">IF(OR(D333=12,D333&lt;=2),"Winter",IF(D333&lt;=5,"Spring",IF(D333&lt;=8,"Summer","Autumn")))</f>
        <v>Spring</v>
      </c>
      <c r="H333" s="11" t="n">
        <f aca="false">weather_data!E333-weather_data!D333</f>
        <v>0.800000000000001</v>
      </c>
      <c r="I333" s="10" t="n">
        <f aca="false">IF(OR(weather_data!H333="light rain",weather_data!H333="moderate rain",weather_data!H333="drizzle",weather_data!H333="thunderstorm"),1,0)</f>
        <v>0</v>
      </c>
      <c r="J333" s="10" t="n">
        <f aca="false">IF(weather_data!I333&gt;=25,1,0)</f>
        <v>0</v>
      </c>
    </row>
    <row r="334" customFormat="false" ht="15" hidden="false" customHeight="false" outlineLevel="0" collapsed="false">
      <c r="A334" s="8" t="n">
        <f aca="false">weather_data!B334</f>
        <v>46099.7708333333</v>
      </c>
      <c r="B334" s="9" t="n">
        <f aca="false">INT(A334)</f>
        <v>46099</v>
      </c>
      <c r="C334" s="10" t="str">
        <f aca="false">TEXT(B334,"yyyy-mm")</f>
        <v>2026-03</v>
      </c>
      <c r="D334" s="10" t="n">
        <f aca="false">MONTH(B334)</f>
        <v>3</v>
      </c>
      <c r="E334" s="10" t="str">
        <f aca="false">TEXT(B334,"mmmm")</f>
        <v>marzec</v>
      </c>
      <c r="F334" s="10" t="str">
        <f aca="false">"Q"&amp;ROUNDUP(D334/3,0)</f>
        <v>Q1</v>
      </c>
      <c r="G334" s="10" t="str">
        <f aca="false">IF(OR(D334=12,D334&lt;=2),"Winter",IF(D334&lt;=5,"Spring",IF(D334&lt;=8,"Summer","Autumn")))</f>
        <v>Spring</v>
      </c>
      <c r="H334" s="11" t="n">
        <f aca="false">weather_data!E334-weather_data!D334</f>
        <v>0.5</v>
      </c>
      <c r="I334" s="10" t="n">
        <f aca="false">IF(OR(weather_data!H334="light rain",weather_data!H334="moderate rain",weather_data!H334="drizzle",weather_data!H334="thunderstorm"),1,0)</f>
        <v>0</v>
      </c>
      <c r="J334" s="10" t="n">
        <f aca="false">IF(weather_data!I334&gt;=25,1,0)</f>
        <v>0</v>
      </c>
    </row>
    <row r="335" customFormat="false" ht="15" hidden="false" customHeight="false" outlineLevel="0" collapsed="false">
      <c r="A335" s="8" t="n">
        <f aca="false">weather_data!B335</f>
        <v>46100.6736111111</v>
      </c>
      <c r="B335" s="9" t="n">
        <f aca="false">INT(A335)</f>
        <v>46100</v>
      </c>
      <c r="C335" s="10" t="str">
        <f aca="false">TEXT(B335,"yyyy-mm")</f>
        <v>2026-03</v>
      </c>
      <c r="D335" s="10" t="n">
        <f aca="false">MONTH(B335)</f>
        <v>3</v>
      </c>
      <c r="E335" s="10" t="str">
        <f aca="false">TEXT(B335,"mmmm")</f>
        <v>marzec</v>
      </c>
      <c r="F335" s="10" t="str">
        <f aca="false">"Q"&amp;ROUNDUP(D335/3,0)</f>
        <v>Q1</v>
      </c>
      <c r="G335" s="10" t="str">
        <f aca="false">IF(OR(D335=12,D335&lt;=2),"Winter",IF(D335&lt;=5,"Spring",IF(D335&lt;=8,"Summer","Autumn")))</f>
        <v>Spring</v>
      </c>
      <c r="H335" s="11" t="n">
        <f aca="false">weather_data!E335-weather_data!D335</f>
        <v>1.2</v>
      </c>
      <c r="I335" s="10" t="n">
        <f aca="false">IF(OR(weather_data!H335="light rain",weather_data!H335="moderate rain",weather_data!H335="drizzle",weather_data!H335="thunderstorm"),1,0)</f>
        <v>0</v>
      </c>
      <c r="J335" s="10" t="n">
        <f aca="false">IF(weather_data!I335&gt;=25,1,0)</f>
        <v>0</v>
      </c>
    </row>
    <row r="336" customFormat="false" ht="15" hidden="false" customHeight="false" outlineLevel="0" collapsed="false">
      <c r="A336" s="8" t="n">
        <f aca="false">weather_data!B336</f>
        <v>46101.5694444445</v>
      </c>
      <c r="B336" s="9" t="n">
        <f aca="false">INT(A336)</f>
        <v>46101</v>
      </c>
      <c r="C336" s="10" t="str">
        <f aca="false">TEXT(B336,"yyyy-mm")</f>
        <v>2026-03</v>
      </c>
      <c r="D336" s="10" t="n">
        <f aca="false">MONTH(B336)</f>
        <v>3</v>
      </c>
      <c r="E336" s="10" t="str">
        <f aca="false">TEXT(B336,"mmmm")</f>
        <v>marzec</v>
      </c>
      <c r="F336" s="10" t="str">
        <f aca="false">"Q"&amp;ROUNDUP(D336/3,0)</f>
        <v>Q1</v>
      </c>
      <c r="G336" s="10" t="str">
        <f aca="false">IF(OR(D336=12,D336&lt;=2),"Winter",IF(D336&lt;=5,"Spring",IF(D336&lt;=8,"Summer","Autumn")))</f>
        <v>Spring</v>
      </c>
      <c r="H336" s="11" t="n">
        <f aca="false">weather_data!E336-weather_data!D336</f>
        <v>0.6</v>
      </c>
      <c r="I336" s="10" t="n">
        <f aca="false">IF(OR(weather_data!H336="light rain",weather_data!H336="moderate rain",weather_data!H336="drizzle",weather_data!H336="thunderstorm"),1,0)</f>
        <v>0</v>
      </c>
      <c r="J336" s="10" t="n">
        <f aca="false">IF(weather_data!I336&gt;=25,1,0)</f>
        <v>0</v>
      </c>
    </row>
    <row r="337" customFormat="false" ht="15" hidden="false" customHeight="false" outlineLevel="0" collapsed="false">
      <c r="A337" s="8" t="n">
        <f aca="false">weather_data!B337</f>
        <v>46102.7569444445</v>
      </c>
      <c r="B337" s="9" t="n">
        <f aca="false">INT(A337)</f>
        <v>46102</v>
      </c>
      <c r="C337" s="10" t="str">
        <f aca="false">TEXT(B337,"yyyy-mm")</f>
        <v>2026-03</v>
      </c>
      <c r="D337" s="10" t="n">
        <f aca="false">MONTH(B337)</f>
        <v>3</v>
      </c>
      <c r="E337" s="10" t="str">
        <f aca="false">TEXT(B337,"mmmm")</f>
        <v>marzec</v>
      </c>
      <c r="F337" s="10" t="str">
        <f aca="false">"Q"&amp;ROUNDUP(D337/3,0)</f>
        <v>Q1</v>
      </c>
      <c r="G337" s="10" t="str">
        <f aca="false">IF(OR(D337=12,D337&lt;=2),"Winter",IF(D337&lt;=5,"Spring",IF(D337&lt;=8,"Summer","Autumn")))</f>
        <v>Spring</v>
      </c>
      <c r="H337" s="11" t="n">
        <f aca="false">weather_data!E337-weather_data!D337</f>
        <v>0.600000000000001</v>
      </c>
      <c r="I337" s="10" t="n">
        <f aca="false">IF(OR(weather_data!H337="light rain",weather_data!H337="moderate rain",weather_data!H337="drizzle",weather_data!H337="thunderstorm"),1,0)</f>
        <v>0</v>
      </c>
      <c r="J337" s="10" t="n">
        <f aca="false">IF(weather_data!I337&gt;=25,1,0)</f>
        <v>0</v>
      </c>
    </row>
    <row r="338" customFormat="false" ht="15" hidden="false" customHeight="false" outlineLevel="0" collapsed="false">
      <c r="A338" s="8" t="n">
        <f aca="false">weather_data!B338</f>
        <v>46103.7916666667</v>
      </c>
      <c r="B338" s="9" t="n">
        <f aca="false">INT(A338)</f>
        <v>46103</v>
      </c>
      <c r="C338" s="10" t="str">
        <f aca="false">TEXT(B338,"yyyy-mm")</f>
        <v>2026-03</v>
      </c>
      <c r="D338" s="10" t="n">
        <f aca="false">MONTH(B338)</f>
        <v>3</v>
      </c>
      <c r="E338" s="10" t="str">
        <f aca="false">TEXT(B338,"mmmm")</f>
        <v>marzec</v>
      </c>
      <c r="F338" s="10" t="str">
        <f aca="false">"Q"&amp;ROUNDUP(D338/3,0)</f>
        <v>Q1</v>
      </c>
      <c r="G338" s="10" t="str">
        <f aca="false">IF(OR(D338=12,D338&lt;=2),"Winter",IF(D338&lt;=5,"Spring",IF(D338&lt;=8,"Summer","Autumn")))</f>
        <v>Spring</v>
      </c>
      <c r="H338" s="11" t="n">
        <f aca="false">weather_data!E338-weather_data!D338</f>
        <v>0.5</v>
      </c>
      <c r="I338" s="10" t="n">
        <f aca="false">IF(OR(weather_data!H338="light rain",weather_data!H338="moderate rain",weather_data!H338="drizzle",weather_data!H338="thunderstorm"),1,0)</f>
        <v>1</v>
      </c>
      <c r="J338" s="10" t="n">
        <f aca="false">IF(weather_data!I338&gt;=25,1,0)</f>
        <v>0</v>
      </c>
    </row>
    <row r="339" customFormat="false" ht="15" hidden="false" customHeight="false" outlineLevel="0" collapsed="false">
      <c r="A339" s="8" t="n">
        <f aca="false">weather_data!B339</f>
        <v>46104.7013888889</v>
      </c>
      <c r="B339" s="9" t="n">
        <f aca="false">INT(A339)</f>
        <v>46104</v>
      </c>
      <c r="C339" s="10" t="str">
        <f aca="false">TEXT(B339,"yyyy-mm")</f>
        <v>2026-03</v>
      </c>
      <c r="D339" s="10" t="n">
        <f aca="false">MONTH(B339)</f>
        <v>3</v>
      </c>
      <c r="E339" s="10" t="str">
        <f aca="false">TEXT(B339,"mmmm")</f>
        <v>marzec</v>
      </c>
      <c r="F339" s="10" t="str">
        <f aca="false">"Q"&amp;ROUNDUP(D339/3,0)</f>
        <v>Q1</v>
      </c>
      <c r="G339" s="10" t="str">
        <f aca="false">IF(OR(D339=12,D339&lt;=2),"Winter",IF(D339&lt;=5,"Spring",IF(D339&lt;=8,"Summer","Autumn")))</f>
        <v>Spring</v>
      </c>
      <c r="H339" s="11" t="n">
        <f aca="false">weather_data!E339-weather_data!D339</f>
        <v>-0.699999999999999</v>
      </c>
      <c r="I339" s="10" t="n">
        <f aca="false">IF(OR(weather_data!H339="light rain",weather_data!H339="moderate rain",weather_data!H339="drizzle",weather_data!H339="thunderstorm"),1,0)</f>
        <v>0</v>
      </c>
      <c r="J339" s="10" t="n">
        <f aca="false">IF(weather_data!I339&gt;=25,1,0)</f>
        <v>0</v>
      </c>
    </row>
    <row r="340" customFormat="false" ht="15" hidden="false" customHeight="false" outlineLevel="0" collapsed="false">
      <c r="A340" s="8" t="n">
        <f aca="false">weather_data!B340</f>
        <v>46105.9097222222</v>
      </c>
      <c r="B340" s="9" t="n">
        <f aca="false">INT(A340)</f>
        <v>46105</v>
      </c>
      <c r="C340" s="10" t="str">
        <f aca="false">TEXT(B340,"yyyy-mm")</f>
        <v>2026-03</v>
      </c>
      <c r="D340" s="10" t="n">
        <f aca="false">MONTH(B340)</f>
        <v>3</v>
      </c>
      <c r="E340" s="10" t="str">
        <f aca="false">TEXT(B340,"mmmm")</f>
        <v>marzec</v>
      </c>
      <c r="F340" s="10" t="str">
        <f aca="false">"Q"&amp;ROUNDUP(D340/3,0)</f>
        <v>Q1</v>
      </c>
      <c r="G340" s="10" t="str">
        <f aca="false">IF(OR(D340=12,D340&lt;=2),"Winter",IF(D340&lt;=5,"Spring",IF(D340&lt;=8,"Summer","Autumn")))</f>
        <v>Spring</v>
      </c>
      <c r="H340" s="11" t="n">
        <f aca="false">weather_data!E340-weather_data!D340</f>
        <v>0</v>
      </c>
      <c r="I340" s="10" t="n">
        <f aca="false">IF(OR(weather_data!H340="light rain",weather_data!H340="moderate rain",weather_data!H340="drizzle",weather_data!H340="thunderstorm"),1,0)</f>
        <v>1</v>
      </c>
      <c r="J340" s="10" t="n">
        <f aca="false">IF(weather_data!I340&gt;=25,1,0)</f>
        <v>1</v>
      </c>
    </row>
    <row r="341" customFormat="false" ht="15" hidden="false" customHeight="false" outlineLevel="0" collapsed="false">
      <c r="A341" s="8" t="n">
        <f aca="false">weather_data!B341</f>
        <v>46106.7708333333</v>
      </c>
      <c r="B341" s="9" t="n">
        <f aca="false">INT(A341)</f>
        <v>46106</v>
      </c>
      <c r="C341" s="10" t="str">
        <f aca="false">TEXT(B341,"yyyy-mm")</f>
        <v>2026-03</v>
      </c>
      <c r="D341" s="10" t="n">
        <f aca="false">MONTH(B341)</f>
        <v>3</v>
      </c>
      <c r="E341" s="10" t="str">
        <f aca="false">TEXT(B341,"mmmm")</f>
        <v>marzec</v>
      </c>
      <c r="F341" s="10" t="str">
        <f aca="false">"Q"&amp;ROUNDUP(D341/3,0)</f>
        <v>Q1</v>
      </c>
      <c r="G341" s="10" t="str">
        <f aca="false">IF(OR(D341=12,D341&lt;=2),"Winter",IF(D341&lt;=5,"Spring",IF(D341&lt;=8,"Summer","Autumn")))</f>
        <v>Spring</v>
      </c>
      <c r="H341" s="11" t="n">
        <f aca="false">weather_data!E341-weather_data!D341</f>
        <v>0.399999999999999</v>
      </c>
      <c r="I341" s="10" t="n">
        <f aca="false">IF(OR(weather_data!H341="light rain",weather_data!H341="moderate rain",weather_data!H341="drizzle",weather_data!H341="thunderstorm"),1,0)</f>
        <v>0</v>
      </c>
      <c r="J341" s="10" t="n">
        <f aca="false">IF(weather_data!I341&gt;=25,1,0)</f>
        <v>0</v>
      </c>
    </row>
    <row r="342" customFormat="false" ht="15" hidden="false" customHeight="false" outlineLevel="0" collapsed="false">
      <c r="A342" s="8" t="n">
        <f aca="false">weather_data!B342</f>
        <v>46108.4375</v>
      </c>
      <c r="B342" s="9" t="n">
        <f aca="false">INT(A342)</f>
        <v>46108</v>
      </c>
      <c r="C342" s="10" t="str">
        <f aca="false">TEXT(B342,"yyyy-mm")</f>
        <v>2026-03</v>
      </c>
      <c r="D342" s="10" t="n">
        <f aca="false">MONTH(B342)</f>
        <v>3</v>
      </c>
      <c r="E342" s="10" t="str">
        <f aca="false">TEXT(B342,"mmmm")</f>
        <v>marzec</v>
      </c>
      <c r="F342" s="10" t="str">
        <f aca="false">"Q"&amp;ROUNDUP(D342/3,0)</f>
        <v>Q1</v>
      </c>
      <c r="G342" s="10" t="str">
        <f aca="false">IF(OR(D342=12,D342&lt;=2),"Winter",IF(D342&lt;=5,"Spring",IF(D342&lt;=8,"Summer","Autumn")))</f>
        <v>Spring</v>
      </c>
      <c r="H342" s="11" t="n">
        <f aca="false">weather_data!E342-weather_data!D342</f>
        <v>-1</v>
      </c>
      <c r="I342" s="10" t="n">
        <f aca="false">IF(OR(weather_data!H342="light rain",weather_data!H342="moderate rain",weather_data!H342="drizzle",weather_data!H342="thunderstorm"),1,0)</f>
        <v>1</v>
      </c>
      <c r="J342" s="10" t="n">
        <f aca="false">IF(weather_data!I342&gt;=25,1,0)</f>
        <v>0</v>
      </c>
    </row>
    <row r="343" customFormat="false" ht="15" hidden="false" customHeight="false" outlineLevel="0" collapsed="false">
      <c r="A343" s="8" t="n">
        <f aca="false">weather_data!B343</f>
        <v>46109.2986111111</v>
      </c>
      <c r="B343" s="9" t="n">
        <f aca="false">INT(A343)</f>
        <v>46109</v>
      </c>
      <c r="C343" s="10" t="str">
        <f aca="false">TEXT(B343,"yyyy-mm")</f>
        <v>2026-03</v>
      </c>
      <c r="D343" s="10" t="n">
        <f aca="false">MONTH(B343)</f>
        <v>3</v>
      </c>
      <c r="E343" s="10" t="str">
        <f aca="false">TEXT(B343,"mmmm")</f>
        <v>marzec</v>
      </c>
      <c r="F343" s="10" t="str">
        <f aca="false">"Q"&amp;ROUNDUP(D343/3,0)</f>
        <v>Q1</v>
      </c>
      <c r="G343" s="10" t="str">
        <f aca="false">IF(OR(D343=12,D343&lt;=2),"Winter",IF(D343&lt;=5,"Spring",IF(D343&lt;=8,"Summer","Autumn")))</f>
        <v>Spring</v>
      </c>
      <c r="H343" s="11" t="n">
        <f aca="false">weather_data!E343-weather_data!D343</f>
        <v>-1.3</v>
      </c>
      <c r="I343" s="10" t="n">
        <f aca="false">IF(OR(weather_data!H343="light rain",weather_data!H343="moderate rain",weather_data!H343="drizzle",weather_data!H343="thunderstorm"),1,0)</f>
        <v>1</v>
      </c>
      <c r="J343" s="10" t="n">
        <f aca="false">IF(weather_data!I343&gt;=25,1,0)</f>
        <v>0</v>
      </c>
    </row>
    <row r="344" customFormat="false" ht="15" hidden="false" customHeight="false" outlineLevel="0" collapsed="false">
      <c r="A344" s="8" t="n">
        <f aca="false">weather_data!B344</f>
        <v>46110.6666666667</v>
      </c>
      <c r="B344" s="9" t="n">
        <f aca="false">INT(A344)</f>
        <v>46110</v>
      </c>
      <c r="C344" s="10" t="str">
        <f aca="false">TEXT(B344,"yyyy-mm")</f>
        <v>2026-03</v>
      </c>
      <c r="D344" s="10" t="n">
        <f aca="false">MONTH(B344)</f>
        <v>3</v>
      </c>
      <c r="E344" s="10" t="str">
        <f aca="false">TEXT(B344,"mmmm")</f>
        <v>marzec</v>
      </c>
      <c r="F344" s="10" t="str">
        <f aca="false">"Q"&amp;ROUNDUP(D344/3,0)</f>
        <v>Q1</v>
      </c>
      <c r="G344" s="10" t="str">
        <f aca="false">IF(OR(D344=12,D344&lt;=2),"Winter",IF(D344&lt;=5,"Spring",IF(D344&lt;=8,"Summer","Autumn")))</f>
        <v>Spring</v>
      </c>
      <c r="H344" s="11" t="n">
        <f aca="false">weather_data!E344-weather_data!D344</f>
        <v>0.800000000000001</v>
      </c>
      <c r="I344" s="10" t="n">
        <f aca="false">IF(OR(weather_data!H344="light rain",weather_data!H344="moderate rain",weather_data!H344="drizzle",weather_data!H344="thunderstorm"),1,0)</f>
        <v>0</v>
      </c>
      <c r="J344" s="10" t="n">
        <f aca="false">IF(weather_data!I344&gt;=25,1,0)</f>
        <v>0</v>
      </c>
    </row>
    <row r="345" customFormat="false" ht="15" hidden="false" customHeight="false" outlineLevel="0" collapsed="false">
      <c r="A345" s="8" t="n">
        <f aca="false">weather_data!B345</f>
        <v>46111.8333333333</v>
      </c>
      <c r="B345" s="9" t="n">
        <f aca="false">INT(A345)</f>
        <v>46111</v>
      </c>
      <c r="C345" s="10" t="str">
        <f aca="false">TEXT(B345,"yyyy-mm")</f>
        <v>2026-03</v>
      </c>
      <c r="D345" s="10" t="n">
        <f aca="false">MONTH(B345)</f>
        <v>3</v>
      </c>
      <c r="E345" s="10" t="str">
        <f aca="false">TEXT(B345,"mmmm")</f>
        <v>marzec</v>
      </c>
      <c r="F345" s="10" t="str">
        <f aca="false">"Q"&amp;ROUNDUP(D345/3,0)</f>
        <v>Q1</v>
      </c>
      <c r="G345" s="10" t="str">
        <f aca="false">IF(OR(D345=12,D345&lt;=2),"Winter",IF(D345&lt;=5,"Spring",IF(D345&lt;=8,"Summer","Autumn")))</f>
        <v>Spring</v>
      </c>
      <c r="H345" s="11" t="n">
        <f aca="false">weather_data!E345-weather_data!D345</f>
        <v>-0.200000000000003</v>
      </c>
      <c r="I345" s="10" t="n">
        <f aca="false">IF(OR(weather_data!H345="light rain",weather_data!H345="moderate rain",weather_data!H345="drizzle",weather_data!H345="thunderstorm"),1,0)</f>
        <v>0</v>
      </c>
      <c r="J345" s="10" t="n">
        <f aca="false">IF(weather_data!I345&gt;=25,1,0)</f>
        <v>0</v>
      </c>
    </row>
    <row r="346" customFormat="false" ht="15" hidden="false" customHeight="false" outlineLevel="0" collapsed="false">
      <c r="A346" s="8" t="n">
        <f aca="false">weather_data!B346</f>
        <v>46112.8333333333</v>
      </c>
      <c r="B346" s="9" t="n">
        <f aca="false">INT(A346)</f>
        <v>46112</v>
      </c>
      <c r="C346" s="10" t="str">
        <f aca="false">TEXT(B346,"yyyy-mm")</f>
        <v>2026-03</v>
      </c>
      <c r="D346" s="10" t="n">
        <f aca="false">MONTH(B346)</f>
        <v>3</v>
      </c>
      <c r="E346" s="10" t="str">
        <f aca="false">TEXT(B346,"mmmm")</f>
        <v>marzec</v>
      </c>
      <c r="F346" s="10" t="str">
        <f aca="false">"Q"&amp;ROUNDUP(D346/3,0)</f>
        <v>Q1</v>
      </c>
      <c r="G346" s="10" t="str">
        <f aca="false">IF(OR(D346=12,D346&lt;=2),"Winter",IF(D346&lt;=5,"Spring",IF(D346&lt;=8,"Summer","Autumn")))</f>
        <v>Spring</v>
      </c>
      <c r="H346" s="11" t="n">
        <f aca="false">weather_data!E346-weather_data!D346</f>
        <v>0.5</v>
      </c>
      <c r="I346" s="10" t="n">
        <f aca="false">IF(OR(weather_data!H346="light rain",weather_data!H346="moderate rain",weather_data!H346="drizzle",weather_data!H346="thunderstorm"),1,0)</f>
        <v>0</v>
      </c>
      <c r="J346" s="10" t="n">
        <f aca="false">IF(weather_data!I346&gt;=25,1,0)</f>
        <v>0</v>
      </c>
    </row>
    <row r="347" customFormat="false" ht="15" hidden="false" customHeight="false" outlineLevel="0" collapsed="false">
      <c r="A347" s="8" t="n">
        <f aca="false">weather_data!B347</f>
        <v>46113.4375</v>
      </c>
      <c r="B347" s="9" t="n">
        <f aca="false">INT(A347)</f>
        <v>46113</v>
      </c>
      <c r="C347" s="10" t="str">
        <f aca="false">TEXT(B347,"yyyy-mm")</f>
        <v>2026-04</v>
      </c>
      <c r="D347" s="10" t="n">
        <f aca="false">MONTH(B347)</f>
        <v>4</v>
      </c>
      <c r="E347" s="10" t="str">
        <f aca="false">TEXT(B347,"mmmm")</f>
        <v>kwiecień</v>
      </c>
      <c r="F347" s="10" t="str">
        <f aca="false">"Q"&amp;ROUNDUP(D347/3,0)</f>
        <v>Q2</v>
      </c>
      <c r="G347" s="10" t="str">
        <f aca="false">IF(OR(D347=12,D347&lt;=2),"Winter",IF(D347&lt;=5,"Spring",IF(D347&lt;=8,"Summer","Autumn")))</f>
        <v>Spring</v>
      </c>
      <c r="H347" s="11" t="n">
        <f aca="false">weather_data!E347-weather_data!D347</f>
        <v>-0.800000000000001</v>
      </c>
      <c r="I347" s="10" t="n">
        <f aca="false">IF(OR(weather_data!H347="light rain",weather_data!H347="moderate rain",weather_data!H347="drizzle",weather_data!H347="thunderstorm"),1,0)</f>
        <v>0</v>
      </c>
      <c r="J347" s="10" t="n">
        <f aca="false">IF(weather_data!I347&gt;=25,1,0)</f>
        <v>0</v>
      </c>
    </row>
    <row r="348" customFormat="false" ht="15" hidden="false" customHeight="false" outlineLevel="0" collapsed="false">
      <c r="A348" s="8" t="n">
        <f aca="false">weather_data!B348</f>
        <v>46114.4166666667</v>
      </c>
      <c r="B348" s="9" t="n">
        <f aca="false">INT(A348)</f>
        <v>46114</v>
      </c>
      <c r="C348" s="10" t="str">
        <f aca="false">TEXT(B348,"yyyy-mm")</f>
        <v>2026-04</v>
      </c>
      <c r="D348" s="10" t="n">
        <f aca="false">MONTH(B348)</f>
        <v>4</v>
      </c>
      <c r="E348" s="10" t="str">
        <f aca="false">TEXT(B348,"mmmm")</f>
        <v>kwiecień</v>
      </c>
      <c r="F348" s="10" t="str">
        <f aca="false">"Q"&amp;ROUNDUP(D348/3,0)</f>
        <v>Q2</v>
      </c>
      <c r="G348" s="10" t="str">
        <f aca="false">IF(OR(D348=12,D348&lt;=2),"Winter",IF(D348&lt;=5,"Spring",IF(D348&lt;=8,"Summer","Autumn")))</f>
        <v>Spring</v>
      </c>
      <c r="H348" s="11" t="n">
        <f aca="false">weather_data!E348-weather_data!D348</f>
        <v>-0.5</v>
      </c>
      <c r="I348" s="10" t="n">
        <f aca="false">IF(OR(weather_data!H348="light rain",weather_data!H348="moderate rain",weather_data!H348="drizzle",weather_data!H348="thunderstorm"),1,0)</f>
        <v>0</v>
      </c>
      <c r="J348" s="10" t="n">
        <f aca="false">IF(weather_data!I348&gt;=25,1,0)</f>
        <v>1</v>
      </c>
    </row>
    <row r="349" customFormat="false" ht="15" hidden="false" customHeight="false" outlineLevel="0" collapsed="false">
      <c r="A349" s="8" t="n">
        <f aca="false">weather_data!B349</f>
        <v>46115.8888888889</v>
      </c>
      <c r="B349" s="9" t="n">
        <f aca="false">INT(A349)</f>
        <v>46115</v>
      </c>
      <c r="C349" s="10" t="str">
        <f aca="false">TEXT(B349,"yyyy-mm")</f>
        <v>2026-04</v>
      </c>
      <c r="D349" s="10" t="n">
        <f aca="false">MONTH(B349)</f>
        <v>4</v>
      </c>
      <c r="E349" s="10" t="str">
        <f aca="false">TEXT(B349,"mmmm")</f>
        <v>kwiecień</v>
      </c>
      <c r="F349" s="10" t="str">
        <f aca="false">"Q"&amp;ROUNDUP(D349/3,0)</f>
        <v>Q2</v>
      </c>
      <c r="G349" s="10" t="str">
        <f aca="false">IF(OR(D349=12,D349&lt;=2),"Winter",IF(D349&lt;=5,"Spring",IF(D349&lt;=8,"Summer","Autumn")))</f>
        <v>Spring</v>
      </c>
      <c r="H349" s="11" t="n">
        <f aca="false">weather_data!E349-weather_data!D349</f>
        <v>-0.400000000000002</v>
      </c>
      <c r="I349" s="10" t="n">
        <f aca="false">IF(OR(weather_data!H349="light rain",weather_data!H349="moderate rain",weather_data!H349="drizzle",weather_data!H349="thunderstorm"),1,0)</f>
        <v>0</v>
      </c>
      <c r="J349" s="10" t="n">
        <f aca="false">IF(weather_data!I349&gt;=25,1,0)</f>
        <v>0</v>
      </c>
    </row>
    <row r="350" customFormat="false" ht="15" hidden="false" customHeight="false" outlineLevel="0" collapsed="false">
      <c r="A350" s="8" t="n">
        <f aca="false">weather_data!B350</f>
        <v>46116.6944444445</v>
      </c>
      <c r="B350" s="9" t="n">
        <f aca="false">INT(A350)</f>
        <v>46116</v>
      </c>
      <c r="C350" s="10" t="str">
        <f aca="false">TEXT(B350,"yyyy-mm")</f>
        <v>2026-04</v>
      </c>
      <c r="D350" s="10" t="n">
        <f aca="false">MONTH(B350)</f>
        <v>4</v>
      </c>
      <c r="E350" s="10" t="str">
        <f aca="false">TEXT(B350,"mmmm")</f>
        <v>kwiecień</v>
      </c>
      <c r="F350" s="10" t="str">
        <f aca="false">"Q"&amp;ROUNDUP(D350/3,0)</f>
        <v>Q2</v>
      </c>
      <c r="G350" s="10" t="str">
        <f aca="false">IF(OR(D350=12,D350&lt;=2),"Winter",IF(D350&lt;=5,"Spring",IF(D350&lt;=8,"Summer","Autumn")))</f>
        <v>Spring</v>
      </c>
      <c r="H350" s="11" t="n">
        <f aca="false">weather_data!E350-weather_data!D350</f>
        <v>0.9</v>
      </c>
      <c r="I350" s="10" t="n">
        <f aca="false">IF(OR(weather_data!H350="light rain",weather_data!H350="moderate rain",weather_data!H350="drizzle",weather_data!H350="thunderstorm"),1,0)</f>
        <v>1</v>
      </c>
      <c r="J350" s="10" t="n">
        <f aca="false">IF(weather_data!I350&gt;=25,1,0)</f>
        <v>0</v>
      </c>
    </row>
    <row r="351" customFormat="false" ht="15" hidden="false" customHeight="false" outlineLevel="0" collapsed="false">
      <c r="A351" s="8" t="n">
        <f aca="false">weather_data!B351</f>
        <v>46117.7847222222</v>
      </c>
      <c r="B351" s="9" t="n">
        <f aca="false">INT(A351)</f>
        <v>46117</v>
      </c>
      <c r="C351" s="10" t="str">
        <f aca="false">TEXT(B351,"yyyy-mm")</f>
        <v>2026-04</v>
      </c>
      <c r="D351" s="10" t="n">
        <f aca="false">MONTH(B351)</f>
        <v>4</v>
      </c>
      <c r="E351" s="10" t="str">
        <f aca="false">TEXT(B351,"mmmm")</f>
        <v>kwiecień</v>
      </c>
      <c r="F351" s="10" t="str">
        <f aca="false">"Q"&amp;ROUNDUP(D351/3,0)</f>
        <v>Q2</v>
      </c>
      <c r="G351" s="10" t="str">
        <f aca="false">IF(OR(D351=12,D351&lt;=2),"Winter",IF(D351&lt;=5,"Spring",IF(D351&lt;=8,"Summer","Autumn")))</f>
        <v>Spring</v>
      </c>
      <c r="H351" s="11" t="n">
        <f aca="false">weather_data!E351-weather_data!D351</f>
        <v>1</v>
      </c>
      <c r="I351" s="10" t="n">
        <f aca="false">IF(OR(weather_data!H351="light rain",weather_data!H351="moderate rain",weather_data!H351="drizzle",weather_data!H351="thunderstorm"),1,0)</f>
        <v>0</v>
      </c>
      <c r="J351" s="10" t="n">
        <f aca="false">IF(weather_data!I351&gt;=25,1,0)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2026-04-10T17:57:42Z</dcterms:modified>
  <cp:revision>1</cp:revision>
  <dc:subject/>
  <dc:title/>
</cp:coreProperties>
</file>